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215d00ea/Shared Documents/Use Case - MiDAS/"/>
    </mc:Choice>
  </mc:AlternateContent>
  <xr:revisionPtr revIDLastSave="0" documentId="8_{BD912CC8-C306-4D1C-92EF-B06E15ADDFA7}" xr6:coauthVersionLast="47" xr6:coauthVersionMax="47" xr10:uidLastSave="{00000000-0000-0000-0000-000000000000}"/>
  <bookViews>
    <workbookView xWindow="0" yWindow="760" windowWidth="34560" windowHeight="19680" firstSheet="1" activeTab="1" xr2:uid="{2CA79904-42EF-4291-86DC-38C7E0E78A43}"/>
  </bookViews>
  <sheets>
    <sheet name="val" sheetId="2" r:id="rId1"/>
    <sheet name="test" sheetId="1" r:id="rId2"/>
    <sheet name="task" sheetId="3" r:id="rId3"/>
  </sheets>
  <definedNames>
    <definedName name="_xlnm._FilterDatabase" localSheetId="2" hidden="1">task!$C$2:$E$2</definedName>
    <definedName name="_xlnm._FilterDatabase" localSheetId="1" hidden="1">test!$A$2:$L$2</definedName>
    <definedName name="_xlnm._FilterDatabase" localSheetId="0" hidden="1">val!$A$2:$P$2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2" l="1" a="1"/>
  <c r="K48" i="2" a="1"/>
  <c r="K83" i="2" a="1"/>
  <c r="K90" i="2" a="1"/>
  <c r="K100" i="2" a="1"/>
  <c r="K25" i="2" a="1"/>
  <c r="K8" i="2" a="1"/>
  <c r="J22" i="1" a="1"/>
  <c r="J24" i="1" a="1"/>
  <c r="J11" i="1" a="1"/>
  <c r="K5" i="2" a="1"/>
  <c r="J25" i="1" a="1"/>
  <c r="J12" i="1" a="1"/>
  <c r="J28" i="1" a="1"/>
  <c r="J5" i="1" a="1"/>
  <c r="K20" i="2" a="1"/>
  <c r="J29" i="1" a="1"/>
  <c r="K93" i="2" a="1"/>
  <c r="J16" i="1" a="1"/>
  <c r="K80" i="2" a="1"/>
  <c r="K31" i="2" a="1"/>
  <c r="J17" i="1" a="1"/>
  <c r="K24" i="2" a="1"/>
  <c r="K39" i="2" a="1"/>
  <c r="K49" i="2" a="1"/>
  <c r="K84" i="2" a="1"/>
  <c r="K91" i="2" a="1"/>
  <c r="K101" i="2" a="1"/>
  <c r="K23" i="2" a="1"/>
  <c r="J37" i="1" a="1"/>
  <c r="J19" i="1" a="1"/>
  <c r="J26" i="1" a="1"/>
  <c r="J14" i="1" a="1"/>
  <c r="J27" i="1" a="1"/>
  <c r="J8" i="1" a="1"/>
  <c r="K21" i="2" a="1"/>
  <c r="J15" i="1" a="1"/>
  <c r="K22" i="2" a="1"/>
  <c r="K40" i="2" a="1"/>
  <c r="K78" i="2" a="1"/>
  <c r="K85" i="2" a="1"/>
  <c r="K92" i="2" a="1"/>
  <c r="K34" i="2" a="1"/>
  <c r="J38" i="1" a="1"/>
  <c r="K97" i="2" a="1"/>
  <c r="K41" i="2" a="1"/>
  <c r="K32" i="2" a="1"/>
  <c r="K18" i="2" a="1"/>
  <c r="K42" i="2" a="1"/>
  <c r="K30" i="2" a="1"/>
  <c r="K16" i="2" a="1"/>
  <c r="J40" i="1" a="1"/>
  <c r="J13" i="1" a="1"/>
  <c r="K99" i="2" a="1"/>
  <c r="J33" i="1" a="1"/>
  <c r="J4" i="1" a="1"/>
  <c r="J31" i="1" a="1"/>
  <c r="K17" i="2" a="1"/>
  <c r="K43" i="2" a="1"/>
  <c r="K81" i="2" a="1"/>
  <c r="K88" i="2" a="1"/>
  <c r="K98" i="2" a="1"/>
  <c r="K29" i="2" a="1"/>
  <c r="K15" i="2" a="1"/>
  <c r="J20" i="1" a="1"/>
  <c r="J18" i="1" a="1"/>
  <c r="J23" i="1" a="1"/>
  <c r="K14" i="2" a="1"/>
  <c r="K89" i="2" a="1"/>
  <c r="K27" i="2" a="1"/>
  <c r="J21" i="1" a="1"/>
  <c r="J9" i="1" a="1"/>
  <c r="K9" i="2" a="1"/>
  <c r="K79" i="2" a="1"/>
  <c r="K33" i="2" a="1"/>
  <c r="J6" i="1" a="1"/>
  <c r="J39" i="1" a="1"/>
  <c r="K28" i="2" a="1"/>
  <c r="K82" i="2" a="1"/>
  <c r="K10" i="2" a="1"/>
  <c r="K44" i="2" a="1"/>
  <c r="K26" i="2" a="1"/>
  <c r="J10" i="1" a="1"/>
  <c r="K86" i="2" a="1"/>
  <c r="K19" i="2" a="1"/>
  <c r="J34" i="1" a="1"/>
  <c r="J30" i="1" a="1"/>
  <c r="J35" i="1" a="1"/>
  <c r="J3" i="1" a="1"/>
  <c r="K87" i="2" a="1"/>
  <c r="J32" i="1" a="1"/>
  <c r="J32" i="1" l="1"/>
  <c r="K87" i="2"/>
  <c r="J3" i="1"/>
  <c r="J35" i="1"/>
  <c r="J30" i="1"/>
  <c r="J34" i="1"/>
  <c r="K19" i="2"/>
  <c r="K86" i="2"/>
  <c r="J10" i="1"/>
  <c r="K26" i="2"/>
  <c r="K44" i="2"/>
  <c r="K10" i="2"/>
  <c r="K82" i="2"/>
  <c r="K28" i="2"/>
  <c r="J39" i="1"/>
  <c r="J6" i="1"/>
  <c r="K33" i="2"/>
  <c r="K79" i="2"/>
  <c r="K9" i="2"/>
  <c r="J9" i="1"/>
  <c r="J21" i="1"/>
  <c r="K27" i="2"/>
  <c r="K89" i="2"/>
  <c r="K14" i="2"/>
  <c r="J23" i="1"/>
  <c r="J18" i="1"/>
  <c r="J20" i="1"/>
  <c r="K15" i="2"/>
  <c r="K29" i="2"/>
  <c r="K98" i="2"/>
  <c r="K88" i="2"/>
  <c r="K81" i="2"/>
  <c r="K43" i="2"/>
  <c r="K17" i="2"/>
  <c r="J31" i="1"/>
  <c r="J4" i="1"/>
  <c r="J33" i="1"/>
  <c r="K99" i="2"/>
  <c r="J13" i="1"/>
  <c r="J40" i="1"/>
  <c r="K16" i="2"/>
  <c r="K30" i="2"/>
  <c r="K42" i="2"/>
  <c r="K18" i="2"/>
  <c r="K32" i="2"/>
  <c r="K41" i="2"/>
  <c r="K97" i="2"/>
  <c r="J38" i="1"/>
  <c r="K34" i="2"/>
  <c r="K92" i="2"/>
  <c r="K85" i="2"/>
  <c r="K78" i="2"/>
  <c r="K40" i="2"/>
  <c r="K22" i="2"/>
  <c r="J15" i="1"/>
  <c r="K21" i="2"/>
  <c r="J8" i="1"/>
  <c r="J27" i="1"/>
  <c r="J14" i="1"/>
  <c r="J26" i="1"/>
  <c r="J19" i="1"/>
  <c r="J37" i="1"/>
  <c r="K23" i="2"/>
  <c r="K101" i="2"/>
  <c r="K91" i="2"/>
  <c r="K84" i="2"/>
  <c r="K49" i="2"/>
  <c r="K39" i="2"/>
  <c r="K24" i="2"/>
  <c r="J17" i="1"/>
  <c r="K31" i="2"/>
  <c r="K80" i="2"/>
  <c r="J16" i="1"/>
  <c r="K93" i="2"/>
  <c r="J29" i="1"/>
  <c r="K20" i="2"/>
  <c r="J5" i="1"/>
  <c r="J28" i="1"/>
  <c r="J12" i="1"/>
  <c r="J25" i="1"/>
  <c r="K5" i="2"/>
  <c r="J11" i="1"/>
  <c r="J24" i="1"/>
  <c r="J22" i="1"/>
  <c r="K8" i="2"/>
  <c r="K25" i="2"/>
  <c r="K100" i="2"/>
  <c r="K90" i="2"/>
  <c r="K83" i="2"/>
  <c r="K48" i="2"/>
  <c r="K3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<sst xmlns="http://schemas.openxmlformats.org/spreadsheetml/2006/main" count="1154" uniqueCount="528">
  <si>
    <t>Baseline - Human Prompts</t>
  </si>
  <si>
    <t>Run / Opt Algo</t>
  </si>
  <si>
    <t>Hyperparameters</t>
  </si>
  <si>
    <t>DsPy Opt Model</t>
  </si>
  <si>
    <t>Infer  on VAL Set</t>
  </si>
  <si>
    <t>Type of initial seed prompt</t>
  </si>
  <si>
    <t>Avg Cls</t>
  </si>
  <si>
    <t>Avg Chg</t>
  </si>
  <si>
    <t>Avg Total Score</t>
  </si>
  <si>
    <t>Avg Time (s)</t>
  </si>
  <si>
    <t>Input, Output, Reason Tokens</t>
  </si>
  <si>
    <t>Total Tokens</t>
  </si>
  <si>
    <t>No. of few shot examples</t>
  </si>
  <si>
    <t>Prompt same as signature/ seed start?</t>
  </si>
  <si>
    <t>Length of prompt instructions</t>
  </si>
  <si>
    <t>Prompt file</t>
  </si>
  <si>
    <t>Log File</t>
  </si>
  <si>
    <t>v1 / GPT-4.1-mini repeat 10 using DSPY style signature -  temp 0.1</t>
  </si>
  <si>
    <t> </t>
  </si>
  <si>
    <t>0.64, 0.627, 0.652, 0.630, 0.602, 0.591, 0.619, 0.639, 0.599, 0.599</t>
  </si>
  <si>
    <t>v1 / GPT-4.1-mini repeat 10 using midas like image passing prompt -  temp 0.1</t>
  </si>
  <si>
    <t>0.598, 0.585, 0.573, 0.573, 0.573, 0.585, 0.585, 0.598, 0.561, 0.585</t>
  </si>
  <si>
    <t>0.278, 0.277, 0.297, 0.284, 0.277, 0.292, 0.275, 0.268, 0.273, 0.294</t>
  </si>
  <si>
    <t>0.470, 0.462, 0.463, 0.458, 0.455, 0.468, 0.461, 0.466, 0.446, 0.469</t>
  </si>
  <si>
    <t>4.8,   5.0,   4.8,   8.8,   5.1,   5.0,   8.9,   5.0,   5.0,   5.0</t>
  </si>
  <si>
    <t>input_tokens    = [2997,  2997,  2997,  2997,  2997,  2997,  2997,  2997,  2997,  2997]
output_tokens   = [58,    69,    60,    60,    71,    70,    64,    81,    69,    68]
reasoning       = N/A</t>
  </si>
  <si>
    <t>v1 / GPT-4.1-mini</t>
  </si>
  <si>
    <t>2995,51,0</t>
  </si>
  <si>
    <t xml:space="preserve"> v2 / GPT-4.1-mini repeat 10 using DSPY style signature</t>
  </si>
  <si>
    <t>0.695, 0.758, 0.696, 0.705, 0.713, 0.681, 0.682, 0.707, 0.708, 0.691</t>
  </si>
  <si>
    <t xml:space="preserve"> v2 / GPT-4.1-mini repeat 10 using midas like image passing prompt -  temp 0.1</t>
  </si>
  <si>
    <t>0.793, 0.793, 0.817, 0.780, 0.780, 0.817, 0.780, 0.793, 0.793, 0.793</t>
  </si>
  <si>
    <t>0.497, 0.509, 0.521, 0.523, 0.522, 0.500, 0.497, 0.513, 0.493, 0.514</t>
  </si>
  <si>
    <t>0.674, 0.679, 0.699, 0.677, 0.677, 0.690, 0.667, 0.681, 0.673, 0.681</t>
  </si>
  <si>
    <t>6.0,   5.9,   5.7,   5.8,   5.7,   5.9,   5.8,   5.7,   6.0,   6.0</t>
  </si>
  <si>
    <t>input_tokens    = [3252,  3252,  3252,  3252,  3252,  3252,  3252,  3252,  3252,  3252]
output_tokens   = [133,   124,   111,   120,   117,   130,   115,   116,   129,   135]
reasoning       = N/A</t>
  </si>
  <si>
    <t xml:space="preserve"> v2 / GPT-4.1-mini</t>
  </si>
  <si>
    <t>3268,115,0</t>
  </si>
  <si>
    <t>v3 / GPT-4.1-mini</t>
  </si>
  <si>
    <t>3442,203,0</t>
  </si>
  <si>
    <t xml:space="preserve"> v4 / GPT-4.1-mini</t>
  </si>
  <si>
    <t>3544,92,0</t>
  </si>
  <si>
    <t>v1 / GPT-4.1 repeat 10 using midas like image passing prompt -  temp 0.1</t>
  </si>
  <si>
    <t>0.744, 0.707, 0.683, 0.732, 0.720, 0.707, 0.695, 0.695, 0.671, 0.720</t>
  </si>
  <si>
    <t>0.553, 0.541, 0.519, 0.570, 0.558, 0.552, 0.540, 0.532, 0.520, 0.559</t>
  </si>
  <si>
    <t>0.668, 0.641, 0.617, 0.667, 0.655, 0.645, 0.633, 0.630, 0.611, 0.655</t>
  </si>
  <si>
    <t>5.0,   5.0,   4.9,   4.9,   4.9,   4.9,   5.0,   4.9,   5.0,   4.9</t>
  </si>
  <si>
    <t>input_tokens    = [2524,  2524,  2524,  2524,  2524,  2524,  2524,  2524,  2524,  2524]
output_tokens   = [69,    68,    64,    74,    69,    68,    70,    66,    72,    67]
reasoning       = N/A</t>
  </si>
  <si>
    <t>v1 / GPT-4.1</t>
  </si>
  <si>
    <t>2522,72,0</t>
  </si>
  <si>
    <t>v2 / GPT-4.1   repeat 10 using midas like image passing prompt -  temp 0.1</t>
  </si>
  <si>
    <t>0.902, 0.890, 0.902, 0.915, 0.890, 0.927, 0.878, 0.915, 0.902, 0.902</t>
  </si>
  <si>
    <t>0.740, 0.754, 0.770, 0.749, 0.735, 0.789, 0.751, 0.781, 0.753, 0.746</t>
  </si>
  <si>
    <t>0.837, 0.836, 0.849, 0.849, 0.828, 0.872, 0.827, 0.861, 0.843, 0.840</t>
  </si>
  <si>
    <t>5.0,   5.1,   5.1,   5.3,   5.1,   5.1,   5.2,   5.1,   5.0,   5.2</t>
  </si>
  <si>
    <t>input_tokens    = [2779,  2779,  2779,  2779,  2779,  2779,  2779,  2779,  2779,  2779]
output_tokens   = [72,    75,    70,    74,    71,    72,    75,    74,    70,    79]
reasoning       = N/A</t>
  </si>
  <si>
    <t>v2 / GPT-4.1</t>
  </si>
  <si>
    <t>2811,82,0</t>
  </si>
  <si>
    <t>v3 / GPT-4.1</t>
  </si>
  <si>
    <t>2976,183,0</t>
  </si>
  <si>
    <t>v4 / GPT-4.1</t>
  </si>
  <si>
    <t>2701,68,0</t>
  </si>
  <si>
    <t>v1 / GPT-5-mini-r-low</t>
  </si>
  <si>
    <t>2513,188,90</t>
  </si>
  <si>
    <t>v2 / GPT-5-mini-r-low</t>
  </si>
  <si>
    <t>2784,187,69</t>
  </si>
  <si>
    <t>v3 / GPT-5-mini-r-low</t>
  </si>
  <si>
    <t>2958,371,91</t>
  </si>
  <si>
    <t>v4 / GPT-5-mini-r-low</t>
  </si>
  <si>
    <t>2774,178,55</t>
  </si>
  <si>
    <t>v1 / GPT-5.2</t>
  </si>
  <si>
    <t>2510,54,0</t>
  </si>
  <si>
    <t>v2 / GPT-5.2</t>
  </si>
  <si>
    <t>2783,81,0</t>
  </si>
  <si>
    <t>v3 / GPT-5.2</t>
  </si>
  <si>
    <t>2959,213,0</t>
  </si>
  <si>
    <t>v4 / GPT-5.2</t>
  </si>
  <si>
    <t>2703,73,0</t>
  </si>
  <si>
    <t>v1 / GPT-5.2-r-low</t>
  </si>
  <si>
    <t>2514,136,66</t>
  </si>
  <si>
    <t>v2 / GPT-5.2-r-low</t>
  </si>
  <si>
    <t>2785,136,58</t>
  </si>
  <si>
    <t>v3 / GPT-5.2-r-low</t>
  </si>
  <si>
    <t>2959,263,58</t>
  </si>
  <si>
    <t>v4 / GPT-5.2-r-low</t>
  </si>
  <si>
    <t>2690,127,57</t>
  </si>
  <si>
    <t>MIPROv2 Light-CoT  (*starting with signatures)</t>
  </si>
  <si>
    <t>Light, max labelled demo 3, max bootstrap demo 3</t>
  </si>
  <si>
    <t>GPT4.1-mini</t>
  </si>
  <si>
    <t>signature class doc string as instructions, fields descriptions are fixed always - not optimized, only instructions optimized, demos 0</t>
  </si>
  <si>
    <t>11928, 116, 0</t>
  </si>
  <si>
    <t>NA</t>
  </si>
  <si>
    <t>GPT4.1</t>
  </si>
  <si>
    <t>signature class doc string as instructions, fields descriptions are fixed always - not optimized, only instructions optimized, demos 1</t>
  </si>
  <si>
    <t>6242, 147, 0</t>
  </si>
  <si>
    <t>signature class doc string as instructions, fields descriptions are fixed always - not optimized, only instructions optimized, demos 2</t>
  </si>
  <si>
    <t>4788, 124, 0</t>
  </si>
  <si>
    <t>GPT-5-mini-r-low</t>
  </si>
  <si>
    <t>signature class doc string as instructions, fields descriptions are fixed always - not optimized, only instructions optimized, demos 3</t>
  </si>
  <si>
    <t>2792, 227, 110</t>
  </si>
  <si>
    <t>azure_gpt-5-mini_MIPROv2_DCA_Light_CoT_RElow_dca_run_20260331170417.log</t>
  </si>
  <si>
    <t>MIPROv2 Light-No-CoT  (*starting with signatures)</t>
  </si>
  <si>
    <t>signature class doc string as instructions, fields descriptions are fixed always - not optimized, only instructions optimized, demos 4</t>
  </si>
  <si>
    <t>2918, 100, 0</t>
  </si>
  <si>
    <t>azure_gpt-4.1-mini_Baseline_NoCot_dca_optimized_20260331173715.json</t>
  </si>
  <si>
    <t>azure_gpt-4.1-mini_MIPROv2_DCA_Light_NoCot_dca_run_20260331173715.log</t>
  </si>
  <si>
    <t>No few shots, It is baseline</t>
  </si>
  <si>
    <t>GPT4.1-mini re ran same 5 times, default temp 0.1</t>
  </si>
  <si>
    <t>signature class doc string as instructions, fields descriptions are fixed always - not optimized, only instructions optimized, demos 5</t>
  </si>
  <si>
    <t>0.878, 0.902, 0.902, 0.915, 0.89</t>
  </si>
  <si>
    <t>0.723, 0.779, 0.743, 0.784, 0.744</t>
  </si>
  <si>
    <t>0.816, 0.853, 0.839, 0.863, 0.832</t>
  </si>
  <si>
    <t>6.3, 6.2, 6.2, 6, 6.3</t>
  </si>
  <si>
    <t>2918, 115, 0, (2918, 115, 0), (2918, 109, 0), (2918, 91, 0), (2918, 113, 0)</t>
  </si>
  <si>
    <t>GPT4.1-mini re ran same 5 times, temp 0.7</t>
  </si>
  <si>
    <t>signature class doc string as instructions, fields descriptions are fixed always - not optimized, only instructions optimized, demos 10</t>
  </si>
  <si>
    <t>0.927, 0.939, 0.915, 0.951, 0.927</t>
  </si>
  <si>
    <t>0.783, 0.797, 0.774, 0.779, 763</t>
  </si>
  <si>
    <t>0.869, 0.882, 0.858, 0.882, 0.861</t>
  </si>
  <si>
    <t>6.6, 6.5, 6.3, 6.4, 6.8</t>
  </si>
  <si>
    <t>2918, 91, 0,  2918, 83, 0, 2918, 91, 0, 2918, 83, 0, 2918, 90, 0</t>
  </si>
  <si>
    <t>GPT4.1-mini re ran same 10 times, default temp 0.0</t>
  </si>
  <si>
    <t>0.915, 0.927, 0.915, 0.927, 0927, 0.927, 0.902, 0.902, 0.927, 0.939</t>
  </si>
  <si>
    <t>0.748, 0.770, 0.779, 0.783, 0.787, 0.777,  0.759, 0.770, 0.788, 0.781</t>
  </si>
  <si>
    <t>0.848, 0.864, 0.861, 0.869, 0.871, 0.867, 0.845, 0.849, 0.871, 0.876</t>
  </si>
  <si>
    <t>11.9, 7.6, 7.6, 7.7, 7.3, 10.8, 18.2, 7.6, 11.6, 11.7</t>
  </si>
  <si>
    <t>2918, 158, 0</t>
  </si>
  <si>
    <t>* truncation in rep06, rep07</t>
  </si>
  <si>
    <t>GPT4.1-mini re ran same 10 times, default temp 0.1</t>
  </si>
  <si>
    <t>0.874, 0.927, 0.939, 0.927, 0.939, 0.902, 0.939, 0.915, 0.927, 0.915</t>
  </si>
  <si>
    <t>0.794, 0.781, 0.819, 0.804, 0.766, 0.772, 0.772, 0.769, 0.754, 0.773</t>
  </si>
  <si>
    <t>0.874, 0.868, 0.891, 0.878, 0.870,  0.850, 0.872, 0.856, 0.858, 0.858</t>
  </si>
  <si>
    <t>12.3, 9.1, 6.1, 6.2, 6.2, 9.5, 6.6, 6.1, 12.5, 6.2</t>
  </si>
  <si>
    <t>2918, 217, 0 *</t>
  </si>
  <si>
    <t>* few times truncated output due to high out tokens. LM response was truncated due to exceeding max_tokens=16384</t>
  </si>
  <si>
    <t>GPT4.1-mini re ran same 10 times, default temp 0.7</t>
  </si>
  <si>
    <t>0.915, 0.927, 0.890, 0.951, 0.927, 0.927, 0.915, 0.890, 0.902, 0.902</t>
  </si>
  <si>
    <t>0.794, 0.772, 0.769, 0.809, 0.807, 0.782, 0.784, 0.763, 0.789, 0.758</t>
  </si>
  <si>
    <t>0.866, 0.865, 0.842, 0.894, 0.879, 0.869, 0.859, 0.839, 0.857, 0.845</t>
  </si>
  <si>
    <t>5.6, 5.5, 5.6, 5.4, 5.6, 5.5, 5.7, 5.7, 5.6, 5.5</t>
  </si>
  <si>
    <t>2918, 89, 0</t>
  </si>
  <si>
    <t>signature class doc string as instructions, fields descriptions are fixed always - not optimized, only instructions optimized, demos 15</t>
  </si>
  <si>
    <t>2933, 58, 0</t>
  </si>
  <si>
    <t>azure_gpt-4.1_MIPROv2_DCA_Light_NoCot_dca_run_20260331170634.log</t>
  </si>
  <si>
    <t>signature class doc string as instructions, fields descriptions are fixed always - not optimized, only instructions optimized, demos 16</t>
  </si>
  <si>
    <t>5412, 133, 115</t>
  </si>
  <si>
    <t> azure_gpt-5-mini_MIPROv2_DCA_Light_NoCot_RElow_dca_run_20260331181355.log</t>
  </si>
  <si>
    <t>Light, max labelled demo 6, max bootstrap demo 6</t>
  </si>
  <si>
    <t>signature class doc string as instructions, fields descriptions are fixed always - not optimized, only instructions optimized, demos 17</t>
  </si>
  <si>
    <t>2939, 81, 0</t>
  </si>
  <si>
    <t>azure_gpt-4.1-mini_MIPROv2_DCA_Light_NoCot_dca_optimized_max_6_6_20260402145119.json</t>
  </si>
  <si>
    <t xml:space="preserve"> re ran-5 times using same "GPT4.1-mini" temp 0.1</t>
  </si>
  <si>
    <t>signature class doc string as instructions, fields descriptions are fixed always - not optimized, only instructions optimized, demos 18</t>
  </si>
  <si>
    <t>0.854, 0.89, 0.89, 0.866, 0.878</t>
  </si>
  <si>
    <t>0.734, 0.75, 0.754, 0.752, 0.742</t>
  </si>
  <si>
    <t>0.806, 0.834, 0.836, 0.82, 0.824</t>
  </si>
  <si>
    <t>5.8, 5.8, 5.8, 8.7, 5.8</t>
  </si>
  <si>
    <t>2939, 91, 0 and almost same</t>
  </si>
  <si>
    <t>(* (one was [058/82] pair_203  discard=false  t=261.5s  tok=19441))</t>
  </si>
  <si>
    <t>above was re ran 5 times using temp 0.7 and same "GPT4.1-mini"</t>
  </si>
  <si>
    <t>signature class doc string as instructions, fields descriptions are fixed always - not optimized, only instructions optimized, demos 23</t>
  </si>
  <si>
    <t>0.878, 0.89, 0.902, 0.866, 0.841</t>
  </si>
  <si>
    <t>0.749, 0.735, 0.761, 0.735, 0.72</t>
  </si>
  <si>
    <t>0.826, 0.828, 0.846, 0.813, 0.793</t>
  </si>
  <si>
    <t>6.5, 6.2, 6.3, 6.3, 6.3</t>
  </si>
  <si>
    <t>2939, 89, 0</t>
  </si>
  <si>
    <t>GPT4.1-mini -repeated new</t>
  </si>
  <si>
    <t>signature class doc string as instructions, fields descriptions are fixed always - not optimized, only instructions optimized, demos 28</t>
  </si>
  <si>
    <t>2918, 92, 0</t>
  </si>
  <si>
    <t>azure_gpt-4.1-mini_MIPROv2_DCA_Light_NoCot_dca_optimized_max_6_6_20260402141458.json</t>
  </si>
  <si>
    <t xml:space="preserve"> re ran-10 times using same "GPT4.1-mini" temp 0.0</t>
  </si>
  <si>
    <t>0.915, 0.927, 0.927, 0.890, 0.902, 0.927, 0.915, 0.915, 0.927, 0.939</t>
  </si>
  <si>
    <t>0.769, 0.768, 0.787, 0.754, 0.773, 0.780, 0.783, 0.780, 0.783, 0.814</t>
  </si>
  <si>
    <t>0.856, 0.863, 0.870, 0.836, 0.851, 0.868, 0.862, 0861, 0.869, 0.889</t>
  </si>
  <si>
    <t>8.7, 20.7, 13, 12.3, 8.9, 9.0, 8.7, 8.5, 12.7, 12.4</t>
  </si>
  <si>
    <t>2918, 118, 0</t>
  </si>
  <si>
    <t>*  truncation in rep04</t>
  </si>
  <si>
    <t xml:space="preserve"> re ran-10 times using same "GPT4.1-mini" temp 0.1</t>
  </si>
  <si>
    <t>0.89, 0.915, 0.915, 0.902, 0.927, 0.915, 0.902, 0.902, 0.890, 0.915</t>
  </si>
  <si>
    <t>0.762, 0.773, 0.758, 0.769, 0.790, 0.771, 0.731, 0.758, 0.759, 0.760</t>
  </si>
  <si>
    <t>0.839, 0.858, 0.852, 0.849, 0.868, 0.857, 0.834, 0.844, 0.838, 0.853</t>
  </si>
  <si>
    <t>6.1, 6.1, 6.0, 6.1, 6.4, 6.0, 9.8, 6.1, 6.3, 9.8</t>
  </si>
  <si>
    <t>2918, 96, 0</t>
  </si>
  <si>
    <t xml:space="preserve"> re ran-10 times using same "GPT4.1-mini" temp 0.7</t>
  </si>
  <si>
    <t>0.878, 0.915, 0.927, 0.915, 0.890, 0.902, 0.902, 0.927, 0.927, 0.902</t>
  </si>
  <si>
    <t>0.763, 0.765, 0.796, 0.793, 0.747, 0.759, 0.773, 0.780, 0.765, 0.756</t>
  </si>
  <si>
    <t>0.832, 0.855, 0.875, 0.866, 0.833, 0.845, 0.851, 0.868, 0.862, 0.844</t>
  </si>
  <si>
    <t>5.3, 5.3, 5.4, 5.4, 5.3, 5.2, 5.4, 5.3, 5.3, 5.3</t>
  </si>
  <si>
    <t>2918, 91, 0</t>
  </si>
  <si>
    <t>signature class doc string as instructions, fields descriptions are fixed always - not optimized, only instructions optimized, demos 29</t>
  </si>
  <si>
    <t>2965, 51, 0</t>
  </si>
  <si>
    <t>GPT4.1-repeated</t>
  </si>
  <si>
    <t>signature class doc string as instructions, fields descriptions are fixed always - not optimized, only instructions optimized, demos 30</t>
  </si>
  <si>
    <t>2934, 63, 0</t>
  </si>
  <si>
    <t xml:space="preserve">MIPROv2 Light-No-CoT  </t>
  </si>
  <si>
    <t>dca signature as seed - all optmized - all fed into docstring signature, no field descp. - all optimized</t>
  </si>
  <si>
    <t xml:space="preserve"> 2979, 85, 0</t>
  </si>
  <si>
    <t>azure_gpt-4.1-mini_MIPROv2_DCA_Light_NoCot_d3b3_cfd_dca_run_20260413204320.log</t>
  </si>
  <si>
    <t xml:space="preserve"> 5877, 71, 0</t>
  </si>
  <si>
    <t>azure_gpt-4.1_MIPROv2_DCA_Light_NoCot_max_3_3_cfd_20260413204318.json</t>
  </si>
  <si>
    <t xml:space="preserve"> 2979, 89, 0</t>
  </si>
  <si>
    <t>azure_gpt-4.1-mini_MIPROv2_DCA_Light_NoCot_d6b6_cfd_dca_run_20260413204319.log</t>
  </si>
  <si>
    <t>20805, 55, 0</t>
  </si>
  <si>
    <t xml:space="preserve"> azure_gpt-4.1_MIPROv2_DCA_Light_NoCot_max_6_6_cfd_20260413204317.json</t>
  </si>
  <si>
    <t xml:space="preserve">MIPROv2 Medium-No-CoT  </t>
  </si>
  <si>
    <t>GPT4.1-mini repeated 10 times, 0.1 temp</t>
  </si>
  <si>
    <t>0.902, 0.915, 0.915, 0.927, 0.927, 0.915, 0.915, 0.915, 0.902, 0.902</t>
  </si>
  <si>
    <t>0.755, 0.772, 0.771, 0.739, 0.744, 0.771, 0.765, 0.786, 0.738, 0.739</t>
  </si>
  <si>
    <t>0.843, 0.858, 0.857, 0.852, 0.854, 0.857, 0.855, 0.863, 0.837, 0.837</t>
  </si>
  <si>
    <t>6.2,   6.1,   6.2,   6.1,   6.3,   9.7,   6.1,   6.4,   6.3,   6.3</t>
  </si>
  <si>
    <t>input_tokens    = [2979,  2979,  2979,  2979,  2979,  2979,  2979,  2979,  2979,  2979]
output_tokens   = [89,    81,    86,    90,    88,    274,   80,    97,    79,    94]
reasoning       = N/A</t>
  </si>
  <si>
    <t>azure_gpt-4.1-mini_MIPROv2_DCA_Medium_NoCot_d3b3_cfd_dca_run_20260413204819.log</t>
  </si>
  <si>
    <t>2979, 86, 0</t>
  </si>
  <si>
    <t>11176, 59, 0</t>
  </si>
  <si>
    <t xml:space="preserve"> azure_gpt-4.1_MIPROv2_DCA_Medium_NoCot_max_3_3_cfd_20260413204821.json</t>
  </si>
  <si>
    <t xml:space="preserve">  2979, 82, 0</t>
  </si>
  <si>
    <t>azure_gpt-4.1-mini_MIPROv2_DCA_Medium_NoCot_d6b6_cfd_dca_run_20260413204818.log</t>
  </si>
  <si>
    <t xml:space="preserve"> 14511, 59, 0</t>
  </si>
  <si>
    <t xml:space="preserve"> azure_gpt-4.1_MIPROv2_DCA_Medium_NoCot_max_6_6_cfd_20260413204820.json</t>
  </si>
  <si>
    <t>v1-prompt as seed - all optmized - all v1 prompt fed into docstring signature, no field descp. - all optimized</t>
  </si>
  <si>
    <t xml:space="preserve">0.817, 0.841,  0.817, 0.817,  0.817,  0.829,  0.841,  0.817,  0.817,  0.817  </t>
  </si>
  <si>
    <t xml:space="preserve">0.644,  0.674,  0.663,  0.640,  0.676,   0.663,   0.674,   0.673,   0.627,   0.668 </t>
  </si>
  <si>
    <t xml:space="preserve">0.748,  0.774, 0.755, 0.746,  0.760, 0.763,  0.774,  0.760,  0.741, 0.757    </t>
  </si>
  <si>
    <t>21.6,  22.1,  22.3,  22.2,  22.1,  18.6,  19.3,  18.9,  19.2,  18.7</t>
  </si>
  <si>
    <t>input_tokens    = [13606, 13606, 13606, 13606, 13606, 13606, 13606, 13606, 13606, 13606]
output_tokens   = [305,   310,   309,   318,   309,   107,   134,   119,   130,   110]
reasoning       = N/A</t>
  </si>
  <si>
    <t>azure_gpt-4.1-mini_MIPROv2_DCA_Light_NoCot_max_3_3_v1_cfd_20260413191910.json</t>
  </si>
  <si>
    <t>13.4,</t>
  </si>
  <si>
    <t xml:space="preserve"> 13606, 123, 0</t>
  </si>
  <si>
    <t>3502, 95, 0</t>
  </si>
  <si>
    <t>azure_gpt-4.1_MIPROv2_DCA_Light_NoCot_max_3_3_v1_cfd_20260413191908.json</t>
  </si>
  <si>
    <t>18318, 115, 0</t>
  </si>
  <si>
    <t>azure_gpt-4.1-mini_MIPROv2_DCA_Light_NoCot_max_6_6_v1_cfd_20260413191909.json</t>
  </si>
  <si>
    <t xml:space="preserve"> 9827, 128, 0</t>
  </si>
  <si>
    <t xml:space="preserve"> azure_gpt-4.1_MIPROv2_DCA_Light_NoCot_max_6_6_v1_cfd_20260413191907.json</t>
  </si>
  <si>
    <t>10381, 126, 0</t>
  </si>
  <si>
    <t xml:space="preserve"> azure_gpt-4.1-mini_MIPROv2_DCA_Medium_NoCot_max_3_3_v1_cfd_20260413204857.json</t>
  </si>
  <si>
    <t>6909, 285, 0</t>
  </si>
  <si>
    <t xml:space="preserve"> azure_gpt-4.1_MIPROv2_DCA_Medium_NoCot_max_3_3_v1_cfd_20260413204859.json</t>
  </si>
  <si>
    <t>13485, 102, 0</t>
  </si>
  <si>
    <t>azure_gpt-4.1-mini_MIPROv2_DCA_Medium_NoCot_max_6_6_v1_cfd_20260413204856.json</t>
  </si>
  <si>
    <t xml:space="preserve"> 14513, 85, 0</t>
  </si>
  <si>
    <t xml:space="preserve"> azure_gpt-4.1_MIPROv2_DCA_Medium_NoCot_max_6_6_v1_cfd_20260413204858.json</t>
  </si>
  <si>
    <t>v2-prompt as seed - all optmized - all v2 prompt fed into docstring signature, no field descp. - all optimized</t>
  </si>
  <si>
    <t xml:space="preserve">   3551, 127, 0</t>
  </si>
  <si>
    <t>azure_gpt-4.1-mini_MIPROv2_DCA_Light_NoCot_d3b3_v2_prompt_cr_cfd_dca_run_20260413191749.log</t>
  </si>
  <si>
    <t xml:space="preserve"> 5470, 62, 0</t>
  </si>
  <si>
    <t>azure_gpt-4.1_MIPROv2_DCA_Light_NoCot_max_3_3_v2_cfd_20260413191747.json</t>
  </si>
  <si>
    <t>2662, 108, 0</t>
  </si>
  <si>
    <t xml:space="preserve"> azure_gpt-4.1-mini_MIPROv2_DCA_Light_NoCot_max_6_6_v2_cfd_20260413191748.json</t>
  </si>
  <si>
    <t xml:space="preserve"> 3527, 126, 0</t>
  </si>
  <si>
    <t>azure_gpt-4.1_Baseline_NoCot_max_6_6_v2_cfd_20260413191746.json</t>
  </si>
  <si>
    <t>6129, 281, 0</t>
  </si>
  <si>
    <t xml:space="preserve"> azure_gpt-4.1-mini_MIPROv2_DCA_Medium_NoCot_max_3_3_v2_cfd_20260413221304.json</t>
  </si>
  <si>
    <t>GPT4.1-mini-10 times-0.1 temp</t>
  </si>
  <si>
    <t xml:space="preserve">0.866, 0.841, 0.866,  0.817, 0.829, 0.841,  0.866,  0.829, 0.878, 0.866  </t>
  </si>
  <si>
    <t xml:space="preserve">0.684, 0.632, 0.672, 0.629, 0.622, 0.627, 0.691, 0.641,   0.654, 0.672  </t>
  </si>
  <si>
    <t xml:space="preserve">0.793,  0.758,  0.788,  0.742, 0.746, 0.756, 0.796,  0.754,  0.789, 0.788     </t>
  </si>
  <si>
    <t xml:space="preserve">15.7, 15.9, 15.8, 15.8, 15.8, 15.8, 15.7, 15.9, 15.8, 15.7  </t>
  </si>
  <si>
    <t>input_tokens    = [10890, 10890, 10890, 10890, 10890, 10890, 10890, 10890, 10890, 10890]
output_tokens   = [86,    96,    88,    86,    86,    93,    82,    91,    88,    79]
reasoning       = N/A</t>
  </si>
  <si>
    <t xml:space="preserve"> azure_gpt-4.1_MIPROv2_DCA_Medium_NoCot_max_3_3_v2_cfd_20260413221306.json</t>
  </si>
  <si>
    <t xml:space="preserve"> 10890, 87, 0</t>
  </si>
  <si>
    <t>10305, 63, 0</t>
  </si>
  <si>
    <t xml:space="preserve"> azure_gpt-4.1-mini_MIPROv2_DCA_Medium_NoCot_max_6_6_v2_cfd_20260413221303.json</t>
  </si>
  <si>
    <t>GPT4.1-mini-repeated 10 - 0,1 temp</t>
  </si>
  <si>
    <t>0.915, 0.915, 0.927, 0.927, 0.927, 0.915, 0.927, 0.951, 0.927, 0.902</t>
  </si>
  <si>
    <t>0.710, 0.704, 0.730, 0.723, 0.692, 0.717, 0.712, 0.723, 0.711, 0.702</t>
  </si>
  <si>
    <t>0.833, 0.831, 0.848, 0.845, 0.833, 0.836, 0.841, 0.860, 0.841, 0.822</t>
  </si>
  <si>
    <t>24.8,  24.9,  24.9,  24.9,  24.8,  24.7,  24.8,  24.9,  24.9,  24.7</t>
  </si>
  <si>
    <t>input_tokens    = [14027, 14027, 14027, 14027, 14027, 14027, 14027, 14027, 14027, 14027]
output_tokens   = [61,    64,    61,    64,    62,    64,    65,    63,    64,    64]
reasoning       = N/A</t>
  </si>
  <si>
    <t xml:space="preserve"> azure_gpt-4.1_MIPROv2_DCA_Medium_NoCot_max_6_6_v2_cfd_20260413221305.json</t>
  </si>
  <si>
    <t xml:space="preserve"> 14027, 60, 0</t>
  </si>
  <si>
    <t>MIPROv2 Medium-CoT 
(*starting with signatures)</t>
  </si>
  <si>
    <t>Medium, max labelled demo 3, max bootstrap demo 3</t>
  </si>
  <si>
    <t>signature class doc string as instructions, fields descriptions are fixed always - not optimized, only instructions optimized, demos 31</t>
  </si>
  <si>
    <t>12228, 162, 0</t>
  </si>
  <si>
    <t> azure_gpt-4.1-mini_MIPROv2_DCA_Medium_CoT_dca_run_20260331185722.log</t>
  </si>
  <si>
    <t>signature class doc string as instructions, fields descriptions are fixed always - not optimized, only instructions optimized, demos 32</t>
  </si>
  <si>
    <t>9625, 122, 0</t>
  </si>
  <si>
    <t>azure_gpt-4.1_MIPROv2_DCA_Medium_CoT_dca_run_20260331174201.log</t>
  </si>
  <si>
    <t>signature class doc string as instructions, fields descriptions are fixed always - not optimized, only instructions optimized, demos 33</t>
  </si>
  <si>
    <t>11124, 319, 105</t>
  </si>
  <si>
    <t> azure_gpt-5-mini_MIPROv2_DCA_Medium_CoT_RElow_dca_run_20260331202149.log</t>
  </si>
  <si>
    <t>MIPROv2 Medium-No-CoT 
(*starting with signatures)</t>
  </si>
  <si>
    <t>signature class doc string as instructions, fields descriptions are fixed always - not optimized, only instructions optimized, demos 34</t>
  </si>
  <si>
    <t>2918, 87, 0</t>
  </si>
  <si>
    <t> azure_gpt-4.1-mini_MIPROv2_DCA_Medium_NoCot_dca_run_20260331193815.log</t>
  </si>
  <si>
    <t>Medium, max labelled demo 6, max bootstrap demo 6</t>
  </si>
  <si>
    <t>signature class doc string as instructions, fields descriptions are fixed always - not optimized, only instructions optimized, demos 35</t>
  </si>
  <si>
    <t>signature class doc string as instructions, fields descriptions are fixed always - not optimized, only instructions optimized, demos 36</t>
  </si>
  <si>
    <t>9254, 53, 0</t>
  </si>
  <si>
    <t> azure_gpt-4.1_MIPROv2_DCA_Medium_NoCot_dca_run_20260331183520.log</t>
  </si>
  <si>
    <t>signature class doc string as instructions, fields descriptions are fixed always - not optimized, only instructions optimized, demos 37</t>
  </si>
  <si>
    <t>5567, 57, 0</t>
  </si>
  <si>
    <t>signature class doc string as instructions, fields descriptions are fixed always - not optimized, only instructions optimized, demos 38</t>
  </si>
  <si>
    <t>5305, 132, 108</t>
  </si>
  <si>
    <t> azure_gpt-5-mini_MIPROv2_DCA_Medium_NoCot_RElow_dca_run_20260331210154.log</t>
  </si>
  <si>
    <t>MIPROv2 Heavy-No-CoT 
(*starting with signatures)</t>
  </si>
  <si>
    <t>Heavy, max labelled demo 3, max bootstrap demo 3</t>
  </si>
  <si>
    <t>signature class doc string as instructions, fields descriptions are fixed always - not optimized, only instructions optimized, demos 39</t>
  </si>
  <si>
    <t>2918, 94, 0</t>
  </si>
  <si>
    <t>signature class doc string as instructions, fields descriptions are fixed always - not optimized, only instructions optimized, demos 40</t>
  </si>
  <si>
    <t>9171, 58, 0</t>
  </si>
  <si>
    <t>Heavy, max labelled demo 6, max bootstrap demo 6</t>
  </si>
  <si>
    <t>signature class doc string as instructions, fields descriptions are fixed always - not optimized, only instructions optimized, demos 41</t>
  </si>
  <si>
    <t>9212, 58, 0</t>
  </si>
  <si>
    <t>signature class doc string as instructions, fields descriptions are fixed always - not optimized, only instructions optimized, demos 42</t>
  </si>
  <si>
    <t>10487, 128, 111</t>
  </si>
  <si>
    <t>Bootstrap - both balanced and label heavy strategies - CoT
(*starting with signatures)</t>
  </si>
  <si>
    <t>n=16, traces=(1,4),max_rounds=2, max: labeled_demos=4 (6 for label-heavy), bootstrapped_demos=4</t>
  </si>
  <si>
    <t>GPT-4o-mini</t>
  </si>
  <si>
    <t>6911, 144, 0</t>
  </si>
  <si>
    <t>log\llm_history_dca_2026033016.json</t>
  </si>
  <si>
    <t>Best - balanced</t>
  </si>
  <si>
    <t>GPT-4.1-mini</t>
  </si>
  <si>
    <t>6911, 148, 0</t>
  </si>
  <si>
    <t>n=32, traces=(2,5),max_rounds=2, max: labeled_demos=4 (6 for label-heavy), bootstrapped_demos=4</t>
  </si>
  <si>
    <t>16205, 134, 0</t>
  </si>
  <si>
    <t>log\llm_history_dca_2026033121.json</t>
  </si>
  <si>
    <t>Best - label-heavy</t>
  </si>
  <si>
    <t>GPT-4.1</t>
  </si>
  <si>
    <t>11856,112,0</t>
  </si>
  <si>
    <t>BEST - BOOTSTRAP OVERALL</t>
  </si>
  <si>
    <t>GPT-4.1-mini ran 10 times, default temp 0.0</t>
  </si>
  <si>
    <t>0.901, 0.901, 0.889, 0.877, 0.889, 0.901, 0.889, 0.889, 0.914, 0.926</t>
  </si>
  <si>
    <t xml:space="preserve">0.811, 0.784, 0.789, 0.767, 0.800, 0.773, 0.803, 0.800, 0.824, 0.838 </t>
  </si>
  <si>
    <t>0.865, 0.854, 0.849, 0.833, 0.853, 0.850, 0.854, 0.853, 0.878, 0.891</t>
  </si>
  <si>
    <t>20.7 around all</t>
  </si>
  <si>
    <t>16206, 144, 0</t>
  </si>
  <si>
    <t>*all 10 reps: json_adapter fallback</t>
  </si>
  <si>
    <t>GPT-4.1-mini ran 10 times, default temp 0.1</t>
  </si>
  <si>
    <t>0.890, 0.902, 0.915, 0.866, 0.902, 0.890, 0.866, 0.890, 0.902, 0.890</t>
  </si>
  <si>
    <t>0.805, 0.819, 0.81, 0.772, 0.809, 0.803, 0.774, 0.833, 0.813, 0.798</t>
  </si>
  <si>
    <t>0.856, 0.869, 0.873, 0.828, 0.865, 0.855, 0.829, 0.867, 0.867, 0.853</t>
  </si>
  <si>
    <t>14.2, 13.5, 13.5, 13.5, 13.6, 13.5, 13.8, 13.8, 13.9, 13.5</t>
  </si>
  <si>
    <t>16205, 142, 0</t>
  </si>
  <si>
    <t>GPT-4.1-mini ran 10 times, default temp 0.7</t>
  </si>
  <si>
    <t>0.878, 0.890, 0.890, 0.939, 0.902, 0.878, 0.927, 0.890, 0.927, 0.902</t>
  </si>
  <si>
    <t>0.784, 0.794, 0.814, 0.836, 0.804, 0.787, 0.840, 0.816, 0.832, 0.767</t>
  </si>
  <si>
    <t>0.841, 0.852, 0.860, 0.898, 0.863, 0.841, 0.892, 0.860, 0.889, 0.848</t>
  </si>
  <si>
    <t>12.2, 12.2, 12.2, 12.2, 12.1, 12.2, 12.3, 12.2, 12.2, 12.4</t>
  </si>
  <si>
    <t>16205, 143, 0</t>
  </si>
  <si>
    <t>12456, 239, 106</t>
  </si>
  <si>
    <t>GPT-5.2</t>
  </si>
  <si>
    <t>12459, 147, 0</t>
  </si>
  <si>
    <t>Bootstrap - label-heavy - No CoT</t>
  </si>
  <si>
    <t>n=32, traces=(2,5),max_rounds=2, max: labeled_demos=6, bootstrapped_demos=4</t>
  </si>
  <si>
    <t>11189, 54, 0</t>
  </si>
  <si>
    <t>log\\azure_gpt-4.1_Label_Heavy_DCA_Bootstrap_NoCot_dca_optimized_20260401174114.log</t>
  </si>
  <si>
    <t>16293, 268, 0</t>
  </si>
  <si>
    <t>n=8, traces= (1,2), max_rounds=2,max: labeled_demos=4, bootstrapped_demos=2</t>
  </si>
  <si>
    <t>4788, 61, 0</t>
  </si>
  <si>
    <t>log\\azure_gpt-4.1_Label_Heavy_DCA_Bootstrap_NoCot_dca_optimized_20260401162554.log</t>
  </si>
  <si>
    <t>GEPA Experiments</t>
  </si>
  <si>
    <t>GEPA-Light</t>
  </si>
  <si>
    <t>train: 40, val: 20, minibatch: 3, image-res: low, custom feedback metric</t>
  </si>
  <si>
    <t>GPT-4o-mini, reflection lm: gpt 5.2</t>
  </si>
  <si>
    <t>3248,101,0</t>
  </si>
  <si>
    <t>azure_gpt-4o-mini_GEPA_DCA_Light_CoT_dca_optimized_20260414115527.json</t>
  </si>
  <si>
    <t>GEPA-1</t>
  </si>
  <si>
    <t>GPT- 4.1-mini</t>
  </si>
  <si>
    <t>3720,107,0</t>
  </si>
  <si>
    <t>GEPA-Medium</t>
  </si>
  <si>
    <t>train: 80, val: 20, minibatch: 3, image-res: low, custom feedback metric</t>
  </si>
  <si>
    <t>3067,96,0</t>
  </si>
  <si>
    <t xml:space="preserve"> azure_gpt-4o-mini_GEPA_DCA_Medium_CoT_dca_optimized_20260414174234.json</t>
  </si>
  <si>
    <t>GEPA-2</t>
  </si>
  <si>
    <t>3539,105,0</t>
  </si>
  <si>
    <t>train: 80, val: 20, minibatch: 5, image-res: low, custom feedback metric</t>
  </si>
  <si>
    <t>GPT-4.1, reflection lm: gpt 5.2</t>
  </si>
  <si>
    <t>3094,103,0</t>
  </si>
  <si>
    <t>azure_gpt-4.1_GEPA_DCA_Medium_CoT_dca_optimized_20260415111515.json</t>
  </si>
  <si>
    <t>GEPA-3</t>
  </si>
  <si>
    <t>3566,107,0</t>
  </si>
  <si>
    <t>train: 150, val: 20, minibatch: 5, image-res: low, custom feedback metric</t>
  </si>
  <si>
    <t>GPT-4.1-mini, reflection lm: gpt 5.2</t>
  </si>
  <si>
    <t>3606,126,0</t>
  </si>
  <si>
    <t>azure_gpt-4.1-mini_GEPA_DCA_Medium_CoT_dca_optimized_20260415135923.json</t>
  </si>
  <si>
    <t>GEPA-4</t>
  </si>
  <si>
    <t>with different seed prompts</t>
  </si>
  <si>
    <t>3341,141,0</t>
  </si>
  <si>
    <t>azure_gpt-4.1-mini_GEPA_DCA_Medium_CoT_dca_optimized_20260415170019.json</t>
  </si>
  <si>
    <t>field descs in instructions</t>
  </si>
  <si>
    <t>3712,142,0</t>
  </si>
  <si>
    <t>azure_gpt-4.1-mini_GEPA_DCA_Medium_CoT_dca_optimized_20260417111429.json</t>
  </si>
  <si>
    <t>v1</t>
  </si>
  <si>
    <t>5155,165,0</t>
  </si>
  <si>
    <t>azure_gpt-4.1-mini_GEPA_DCA_Medium_CoT_dca_optimized_20260417170020.json</t>
  </si>
  <si>
    <t>v2</t>
  </si>
  <si>
    <t>miprov2 41458 as seed</t>
  </si>
  <si>
    <t>GEPA Instructions with best bootstrap examples</t>
  </si>
  <si>
    <t>GEPA-1 + Best Bootstrap</t>
  </si>
  <si>
    <t>all best bootstrap examples - 6</t>
  </si>
  <si>
    <t>16980,93,0</t>
  </si>
  <si>
    <t>azure_gpt-4.1-mini_GEPA_with_bootstrap_1.json</t>
  </si>
  <si>
    <t>4 best bootstrap examples - 2 aug 2 labeled</t>
  </si>
  <si>
    <t>11383,94,0</t>
  </si>
  <si>
    <t>azure_gpt-4.1-mini_GEPA_with_bootstrap_1_2.json</t>
  </si>
  <si>
    <t>Signature + Bootstrap</t>
  </si>
  <si>
    <t>10608,149,0</t>
  </si>
  <si>
    <t>azure_gpt-4.1-mini_Label_Heavy_DCA_Bootstrap_dca_optimized_2026033121_copy.json</t>
  </si>
  <si>
    <t>2 best - both aug</t>
  </si>
  <si>
    <t>11383,98,0</t>
  </si>
  <si>
    <t>azure_gpt-4.1-mini_GEPA_with_bootstrap_1_2_3.json</t>
  </si>
  <si>
    <t>HUMAN PROMPTS</t>
  </si>
  <si>
    <t>AUTO-OPTIMIZED</t>
  </si>
  <si>
    <t>* For all optimizations - starting point is dspy signatures given</t>
  </si>
  <si>
    <t>PROMPT VERSIONS :</t>
  </si>
  <si>
    <t xml:space="preserve">v1 - </t>
  </si>
  <si>
    <t>Midas human prompt adapted to latest rules</t>
  </si>
  <si>
    <t xml:space="preserve">v2 - </t>
  </si>
  <si>
    <t>CR human prompt written using Claude</t>
  </si>
  <si>
    <t xml:space="preserve">v3 - </t>
  </si>
  <si>
    <t>v2 with extra thinking area key in output json</t>
  </si>
  <si>
    <t xml:space="preserve">v4 - </t>
  </si>
  <si>
    <t>Step wise prompting, Decompose into 2-3 steps, CR human prompts</t>
  </si>
  <si>
    <t>VAL inference is using 0.1 temperature for non reasoning models, and 1 temp for reasoning models like GPT-5-mini and GPT-5.2 with low reasoning effort</t>
  </si>
  <si>
    <t>Infer  on Test Set</t>
  </si>
  <si>
    <t>Optimized prompt file</t>
  </si>
  <si>
    <t>2822, 48, 0</t>
  </si>
  <si>
    <t>3095, 106, 0</t>
  </si>
  <si>
    <t>3269, 204, 0</t>
  </si>
  <si>
    <t>3136, 67, 0</t>
  </si>
  <si>
    <t>2470, 71, 0</t>
  </si>
  <si>
    <t>2749, 69, 0</t>
  </si>
  <si>
    <t>2923, 180, 0</t>
  </si>
  <si>
    <t>2600, 59, 0</t>
  </si>
  <si>
    <t>2386, 183, 98</t>
  </si>
  <si>
    <t>2656, 179, 74</t>
  </si>
  <si>
    <t>2830, 359, 89</t>
  </si>
  <si>
    <t>2446, 127, 50</t>
  </si>
  <si>
    <t>2383, 58, 0</t>
  </si>
  <si>
    <t>2655, 60, 0</t>
  </si>
  <si>
    <t>2831, 200, 0</t>
  </si>
  <si>
    <t>2384, 114, 52</t>
  </si>
  <si>
    <t>2386, 136, 67</t>
  </si>
  <si>
    <t>2657, 135, 63</t>
  </si>
  <si>
    <t>2831, 256, 59</t>
  </si>
  <si>
    <t>11759, 113, 0</t>
  </si>
  <si>
    <t>gpt-4.1-mini_MIPROv2_DCA_Light_dca_optimized_2026032711.json</t>
  </si>
  <si>
    <t>6083, 143, 0</t>
  </si>
  <si>
    <t>gpt-4.1_MIPROv2_DCA_Light_dca_optimized_2026032716.json</t>
  </si>
  <si>
    <t>4735, 129, 0</t>
  </si>
  <si>
    <t>2664, 276, 103</t>
  </si>
  <si>
    <t>azure_gpt-5-mini_MIPROv2_DCA_Light_CoT_RElow_dca_optimized_20260331170417</t>
  </si>
  <si>
    <t>2774, 67, 0</t>
  </si>
  <si>
    <t>2880, 60, 0</t>
  </si>
  <si>
    <t>azure_gpt-4.1_MIPROv2_DCA_Light_NoCot_dca_optimized_20260331170634.json</t>
  </si>
  <si>
    <t>5283, 140, 116</t>
  </si>
  <si>
    <t>azure_gpt-5-mini_MIPROv2_DCA_Light_NoCot_RElow_dca_optimized_20260331181355.json</t>
  </si>
  <si>
    <t>12054, 156, 0</t>
  </si>
  <si>
    <t>azure_gpt-4.1-mini_MIPROv2_DCA_Medium_CoT_dca_optimized_20260331185722.json</t>
  </si>
  <si>
    <t>9572, 125, 0</t>
  </si>
  <si>
    <t>azure_gpt-4.1_MIPROv2_DCA_Medium_CoT_dca_optimized_20260331174201.json</t>
  </si>
  <si>
    <t>10995, 310, 118</t>
  </si>
  <si>
    <t>azure_gpt-5-mini_MIPROv2_DCA_Medium_CoT_RElow_dca_optimized_20260331202149.json</t>
  </si>
  <si>
    <t>2744, 67, 0</t>
  </si>
  <si>
    <t> azure_gpt-4.1-mini_MIPROv2_DCA_Medium_NoCot_dca_optimized_20260331193815.json</t>
  </si>
  <si>
    <t>9201, 53, 0</t>
  </si>
  <si>
    <t>azure_gpt-4.1_MIPROv2_DCA_Medium_NoCot_dca_optimized_20260331183520.json</t>
  </si>
  <si>
    <t>5176, 140, 108</t>
  </si>
  <si>
    <t> azure_gpt-5-mini_MIPROv2_DCA_Medium_NoCot_RElow_dca_optimized_20260331210154.json</t>
  </si>
  <si>
    <t>9118, 54, 0</t>
  </si>
  <si>
    <t>azure_gpt-4.1_MIPROv2_DCA_Heavy_NoCot_dca_optimized_20260401143326.json</t>
  </si>
  <si>
    <t>10358, 141, 124</t>
  </si>
  <si>
    <t>azure_gpt-5-mini_MIPROv2_DCA_Heavy_NoCot_RElow_dca_optimized_20260401143442.json</t>
  </si>
  <si>
    <t>6736,146,0</t>
  </si>
  <si>
    <t>azure_gpt-4o-mini_Balanced_DCA_Bootstrap_dca_optimized_2026033016.json</t>
  </si>
  <si>
    <t>7301,254,0</t>
  </si>
  <si>
    <t>16031, 134, 0</t>
  </si>
  <si>
    <t>azure_gpt-4.1-mini_Label_Heavy_DCA_Bootstrap_dca_optimized_2026033121.json</t>
  </si>
  <si>
    <t>11804,119,0</t>
  </si>
  <si>
    <t>12327, 221, 105</t>
  </si>
  <si>
    <t>11137, 59, 0</t>
  </si>
  <si>
    <t xml:space="preserve">azure_gpt-4.1_Label_Heavy_DCA_Bootstrap_NoCot_dca_optimized_20260401174114.json </t>
  </si>
  <si>
    <t>15127, 68, 0</t>
  </si>
  <si>
    <t>4736, 62, 0</t>
  </si>
  <si>
    <t>azure_gpt-4.1_Label_Heavy_DCA_Bootstrap_NoCot_dca_optimized_20260401162554.json</t>
  </si>
  <si>
    <t>GEPA-Experiments</t>
  </si>
  <si>
    <t>GPT 4.1</t>
  </si>
  <si>
    <t>3195,108,0</t>
  </si>
  <si>
    <t>3546,107,0</t>
  </si>
  <si>
    <t>3014,95,0</t>
  </si>
  <si>
    <t>azure_gpt-4o-mini_GEPA_DCA_Medium_CoT_dca_optimized_20260414174234.json</t>
  </si>
  <si>
    <t>3365,101,0</t>
  </si>
  <si>
    <t>3041,106,0</t>
  </si>
  <si>
    <t>3392,107,0</t>
  </si>
  <si>
    <t>3432,115,0</t>
  </si>
  <si>
    <t>3167,128,0</t>
  </si>
  <si>
    <t>signature with field descs in instructions</t>
  </si>
  <si>
    <t>3538, 137, 0</t>
  </si>
  <si>
    <t>5066,148,0</t>
  </si>
  <si>
    <t>16806,95,0</t>
  </si>
  <si>
    <t>11209,94,0</t>
  </si>
  <si>
    <t>Signature+Bootstrap</t>
  </si>
  <si>
    <t>10433,134,0</t>
  </si>
  <si>
    <t>11209,100,0</t>
  </si>
  <si>
    <t>Test inference is using 0.1 temperature for non reasoning models, and 1 temp for reasoning models like GPT-5-mini and GPT-5.2 with low reasoning effort</t>
  </si>
  <si>
    <t>Priority</t>
  </si>
  <si>
    <t>Task</t>
  </si>
  <si>
    <t>Description</t>
  </si>
  <si>
    <t>Assigned</t>
  </si>
  <si>
    <t>Comments</t>
  </si>
  <si>
    <t>Complete existing, Update val scores in excel, select based on val</t>
  </si>
  <si>
    <t>Update val, select based on val, and complete all existing experiements in line</t>
  </si>
  <si>
    <t>Salil, Jahnavi</t>
  </si>
  <si>
    <t>Need to update logging for tracing exps &amp; prints, in depth</t>
  </si>
  <si>
    <t>Need to update logging for tracing exps, in depth</t>
  </si>
  <si>
    <t>Salil</t>
  </si>
  <si>
    <t>Done</t>
  </si>
  <si>
    <t xml:space="preserve">Experiment with GEPA </t>
  </si>
  <si>
    <t>With existing data split 60/20/20, and gpt 4.1 or 4.1 mini models</t>
  </si>
  <si>
    <t>Jahnavi</t>
  </si>
  <si>
    <t>Use minibatch/ small train set for GEPA</t>
  </si>
  <si>
    <t>30% train, else val and test, then later train on above existing split 60/20/20</t>
  </si>
  <si>
    <t>Optimize using bigger model gpt5.2 for GEPA on small train set</t>
  </si>
  <si>
    <t>Optimize using bigger model gpt5.2 for MIPROv2 on small train</t>
  </si>
  <si>
    <t xml:space="preserve">Sequential Pipeline </t>
  </si>
  <si>
    <t>* Start with claude code to form seed prompt (use signature + pick few shots + use if any prompt existing available = use claude code to write better seed prompt)
* Seed baseline prompt or best from above, BootsrapFewShot for better examples, pick best prompt
* Seed best prompt, try Miprov2 for better, pick best prompt,
* Seed best prompt, GEPA for better instruction improvement, pick best</t>
  </si>
  <si>
    <t>Salil / Jahnavi</t>
  </si>
  <si>
    <t>Refactoring code repo</t>
  </si>
  <si>
    <t>As per Xinbo comments</t>
  </si>
  <si>
    <t>Cost based multi-objective optimization using Miprov2/ etc</t>
  </si>
  <si>
    <t>Cost-based optimization to reduce number of tokens</t>
  </si>
  <si>
    <t>Cross-model prompt transfer/ inference</t>
  </si>
  <si>
    <t>Cross-model prompt transfer (optimize on 4.1-mini, run on gpt-4.1/ gpt5/ gpt5.2 etc)</t>
  </si>
  <si>
    <t>Experiment with SIMBA</t>
  </si>
  <si>
    <t>Automation of new tasks onboarding</t>
  </si>
  <si>
    <t>Using agents to figure out metrics, dataset, data divide, etc -just an 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</si>
</sst>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theme="1"/>
      <name val="Aptos Narrow"/>
      <scheme val="minor"/>
    </font>
    <font>
      <sz val="11"/>
      <color theme="1"/>
      <name val="Aptos Display"/>
      <scheme val="major"/>
    </font>
    <font>
      <sz val="10"/>
      <name val="Arial"/>
      <family val="2"/>
    </font>
    <font>
      <b/>
      <sz val="11"/>
      <color rgb="FF000000"/>
      <name val="Aptos Narrow"/>
      <scheme val="minor"/>
    </font>
    <font>
      <sz val="11"/>
      <color rgb="FF242424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7" fillId="4" borderId="2" xfId="0" applyFont="1" applyFill="1" applyBorder="1" applyAlignment="1">
      <alignment vertical="center"/>
    </xf>
    <xf numFmtId="0" fontId="7" fillId="11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7" borderId="2" xfId="0" applyFill="1" applyBorder="1" applyAlignment="1">
      <alignment wrapText="1"/>
    </xf>
    <xf numFmtId="0" fontId="4" fillId="0" borderId="2" xfId="0" applyFont="1" applyBorder="1"/>
    <xf numFmtId="0" fontId="0" fillId="6" borderId="2" xfId="0" applyFill="1" applyBorder="1" applyAlignment="1">
      <alignment wrapText="1"/>
    </xf>
    <xf numFmtId="0" fontId="4" fillId="0" borderId="2" xfId="0" applyFont="1" applyBorder="1" applyAlignment="1">
      <alignment vertical="center"/>
    </xf>
    <xf numFmtId="0" fontId="2" fillId="5" borderId="2" xfId="0" applyFont="1" applyFill="1" applyBorder="1" applyAlignment="1">
      <alignment wrapText="1"/>
    </xf>
    <xf numFmtId="0" fontId="3" fillId="0" borderId="2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7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/>
    <xf numFmtId="0" fontId="3" fillId="6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wrapText="1"/>
    </xf>
    <xf numFmtId="0" fontId="0" fillId="13" borderId="7" xfId="0" applyFill="1" applyBorder="1" applyAlignment="1">
      <alignment wrapText="1"/>
    </xf>
    <xf numFmtId="0" fontId="0" fillId="13" borderId="8" xfId="0" applyFill="1" applyBorder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center"/>
    </xf>
    <xf numFmtId="0" fontId="0" fillId="6" borderId="4" xfId="0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6" borderId="6" xfId="0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 wrapText="1"/>
    </xf>
    <xf numFmtId="0" fontId="13" fillId="6" borderId="0" xfId="0" applyFont="1" applyFill="1"/>
    <xf numFmtId="0" fontId="11" fillId="11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/>
    </xf>
    <xf numFmtId="0" fontId="0" fillId="14" borderId="2" xfId="0" applyFill="1" applyBorder="1" applyAlignment="1">
      <alignment vertical="center"/>
    </xf>
    <xf numFmtId="0" fontId="3" fillId="14" borderId="2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vertical="center" wrapText="1"/>
    </xf>
    <xf numFmtId="0" fontId="7" fillId="13" borderId="7" xfId="0" applyFont="1" applyFill="1" applyBorder="1" applyAlignment="1">
      <alignment vertical="center" wrapText="1"/>
    </xf>
    <xf numFmtId="0" fontId="7" fillId="13" borderId="8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9" fillId="6" borderId="2" xfId="0" applyFont="1" applyFill="1" applyBorder="1"/>
    <xf numFmtId="0" fontId="0" fillId="8" borderId="6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val!$H$29:$H$102</c:f>
              <c:strCache>
                <c:ptCount val="73"/>
                <c:pt idx="0">
                  <c:v>0.884</c:v>
                </c:pt>
                <c:pt idx="1">
                  <c:v>0.865</c:v>
                </c:pt>
                <c:pt idx="2">
                  <c:v>0.907</c:v>
                </c:pt>
                <c:pt idx="3">
                  <c:v>0.817</c:v>
                </c:pt>
                <c:pt idx="4">
                  <c:v>0.856</c:v>
                </c:pt>
                <c:pt idx="5">
                  <c:v>0.816, 0.853, 0.839, 0.863, 0.832</c:v>
                </c:pt>
                <c:pt idx="6">
                  <c:v>0.869, 0.882, 0.858, 0.882, 0.861</c:v>
                </c:pt>
                <c:pt idx="7">
                  <c:v>0.848, 0.864, 0.861, 0.869, 0.871, 0.867, 0.845, 0.849, 0.871, 0.876</c:v>
                </c:pt>
                <c:pt idx="8">
                  <c:v>0.874, 0.868, 0.891, 0.878, 0.870,  0.850, 0.872, 0.856, 0.858, 0.858</c:v>
                </c:pt>
                <c:pt idx="9">
                  <c:v>0.866, 0.865, 0.842, 0.894, 0.879, 0.869, 0.859, 0.839, 0.857, 0.845</c:v>
                </c:pt>
                <c:pt idx="10">
                  <c:v>0.871</c:v>
                </c:pt>
                <c:pt idx="11">
                  <c:v>0.777</c:v>
                </c:pt>
                <c:pt idx="12">
                  <c:v>0.849</c:v>
                </c:pt>
                <c:pt idx="13">
                  <c:v>0.806, 0.834, 0.836, 0.82, 0.824</c:v>
                </c:pt>
                <c:pt idx="14">
                  <c:v>0.826, 0.828, 0.846, 0.813, 0.793</c:v>
                </c:pt>
                <c:pt idx="15">
                  <c:v>0.882</c:v>
                </c:pt>
                <c:pt idx="16">
                  <c:v>0.856, 0.863, 0.870, 0.836, 0.851, 0.868, 0.862, 0861, 0.869, 0.889</c:v>
                </c:pt>
                <c:pt idx="17">
                  <c:v>0.839, 0.858, 0.852, 0.849, 0.868, 0.857, 0.834, 0.844, 0.838, 0.853</c:v>
                </c:pt>
                <c:pt idx="18">
                  <c:v>0.832, 0.855, 0.875, 0.866, 0.833, 0.845, 0.851, 0.868, 0.862, 0.844</c:v>
                </c:pt>
                <c:pt idx="19">
                  <c:v>0.882</c:v>
                </c:pt>
                <c:pt idx="20">
                  <c:v>0.801</c:v>
                </c:pt>
                <c:pt idx="21">
                  <c:v>0.862</c:v>
                </c:pt>
                <c:pt idx="22">
                  <c:v>0.608</c:v>
                </c:pt>
                <c:pt idx="23">
                  <c:v>0.858</c:v>
                </c:pt>
                <c:pt idx="24">
                  <c:v>0.766</c:v>
                </c:pt>
                <c:pt idx="25">
                  <c:v>0.843, 0.858, 0.857, 0.852, 0.854, 0.857, 0.855, 0.863, 0.837, 0.837</c:v>
                </c:pt>
                <c:pt idx="26">
                  <c:v>0.869</c:v>
                </c:pt>
                <c:pt idx="27">
                  <c:v>0.824</c:v>
                </c:pt>
                <c:pt idx="28">
                  <c:v>0.85</c:v>
                </c:pt>
                <c:pt idx="29">
                  <c:v>0.822</c:v>
                </c:pt>
                <c:pt idx="30">
                  <c:v>0.748,  0.774, 0.755, 0.746,  0.760, 0.763,  0.774,  0.760,  0.741, 0.757    </c:v>
                </c:pt>
                <c:pt idx="31">
                  <c:v>0.784</c:v>
                </c:pt>
                <c:pt idx="32">
                  <c:v>0.71</c:v>
                </c:pt>
                <c:pt idx="33">
                  <c:v>0.757</c:v>
                </c:pt>
                <c:pt idx="34">
                  <c:v>0.626</c:v>
                </c:pt>
                <c:pt idx="35">
                  <c:v>0.718</c:v>
                </c:pt>
                <c:pt idx="36">
                  <c:v>0.782</c:v>
                </c:pt>
                <c:pt idx="37">
                  <c:v>0.785</c:v>
                </c:pt>
                <c:pt idx="38">
                  <c:v>0.72</c:v>
                </c:pt>
                <c:pt idx="39">
                  <c:v>0.709</c:v>
                </c:pt>
                <c:pt idx="40">
                  <c:v>0.684</c:v>
                </c:pt>
                <c:pt idx="41">
                  <c:v>0.771</c:v>
                </c:pt>
                <c:pt idx="42">
                  <c:v>0.727</c:v>
                </c:pt>
                <c:pt idx="43">
                  <c:v>0.787</c:v>
                </c:pt>
                <c:pt idx="44">
                  <c:v>0.793,  0.758,  0.788,  0.742, 0.746, 0.756, 0.796,  0.754,  0.789, 0.788     </c:v>
                </c:pt>
                <c:pt idx="45">
                  <c:v>0.805</c:v>
                </c:pt>
                <c:pt idx="46">
                  <c:v>0.79</c:v>
                </c:pt>
                <c:pt idx="47">
                  <c:v>0.833, 0.831, 0.848, 0.845, 0.833, 0.836, 0.841, 0.860, 0.841, 0.822</c:v>
                </c:pt>
                <c:pt idx="48">
                  <c:v>0.812</c:v>
                </c:pt>
                <c:pt idx="49">
                  <c:v>0.88</c:v>
                </c:pt>
                <c:pt idx="50">
                  <c:v>0.904</c:v>
                </c:pt>
                <c:pt idx="51">
                  <c:v>0.855</c:v>
                </c:pt>
                <c:pt idx="52">
                  <c:v>0.881</c:v>
                </c:pt>
                <c:pt idx="53">
                  <c:v>0.842</c:v>
                </c:pt>
                <c:pt idx="54">
                  <c:v>0.906</c:v>
                </c:pt>
                <c:pt idx="55">
                  <c:v>0.859</c:v>
                </c:pt>
                <c:pt idx="56">
                  <c:v>0.854</c:v>
                </c:pt>
                <c:pt idx="57">
                  <c:v>0.851</c:v>
                </c:pt>
                <c:pt idx="58">
                  <c:v>0.926</c:v>
                </c:pt>
                <c:pt idx="59">
                  <c:v>0.868</c:v>
                </c:pt>
                <c:pt idx="60">
                  <c:v>0.828</c:v>
                </c:pt>
                <c:pt idx="61">
                  <c:v>0.83</c:v>
                </c:pt>
                <c:pt idx="62">
                  <c:v>0.835</c:v>
                </c:pt>
                <c:pt idx="63">
                  <c:v>0.85</c:v>
                </c:pt>
                <c:pt idx="64">
                  <c:v>0.94</c:v>
                </c:pt>
                <c:pt idx="65">
                  <c:v>0.865, 0.854, 0.849, 0.833, 0.853, 0.850, 0.854, 0.853, 0.878, 0.891</c:v>
                </c:pt>
                <c:pt idx="66">
                  <c:v>0.856, 0.869, 0.873, 0.828, 0.865, 0.855, 0.829, 0.867, 0.867, 0.853</c:v>
                </c:pt>
                <c:pt idx="67">
                  <c:v>0.841, 0.852, 0.860, 0.898, 0.863, 0.841, 0.892, 0.860, 0.889, 0.848</c:v>
                </c:pt>
                <c:pt idx="68">
                  <c:v>0.889</c:v>
                </c:pt>
                <c:pt idx="69">
                  <c:v>0.87</c:v>
                </c:pt>
                <c:pt idx="70">
                  <c:v>0.893</c:v>
                </c:pt>
                <c:pt idx="71">
                  <c:v>0.84</c:v>
                </c:pt>
                <c:pt idx="72">
                  <c:v>0.85</c:v>
                </c:pt>
              </c:strCache>
            </c:strRef>
          </c:xVal>
          <c:yVal>
            <c:numRef>
              <c:f>val!$K$29:$K$102</c:f>
              <c:numCache>
                <c:formatCode>General</c:formatCode>
                <c:ptCount val="74"/>
                <c:pt idx="0">
                  <c:v>12044</c:v>
                </c:pt>
                <c:pt idx="1">
                  <c:v>6389</c:v>
                </c:pt>
                <c:pt idx="2">
                  <c:v>4912</c:v>
                </c:pt>
                <c:pt idx="3">
                  <c:v>3129</c:v>
                </c:pt>
                <c:pt idx="4">
                  <c:v>3018</c:v>
                </c:pt>
                <c:pt idx="5">
                  <c:v>3033</c:v>
                </c:pt>
                <c:pt idx="6">
                  <c:v>3009</c:v>
                </c:pt>
                <c:pt idx="10">
                  <c:v>2991</c:v>
                </c:pt>
                <c:pt idx="11">
                  <c:v>5660</c:v>
                </c:pt>
                <c:pt idx="12">
                  <c:v>3020</c:v>
                </c:pt>
                <c:pt idx="13">
                  <c:v>0</c:v>
                </c:pt>
                <c:pt idx="14">
                  <c:v>3028</c:v>
                </c:pt>
                <c:pt idx="15">
                  <c:v>3010</c:v>
                </c:pt>
                <c:pt idx="19">
                  <c:v>3016</c:v>
                </c:pt>
                <c:pt idx="20">
                  <c:v>2997</c:v>
                </c:pt>
                <c:pt idx="49">
                  <c:v>12390</c:v>
                </c:pt>
                <c:pt idx="50">
                  <c:v>9747</c:v>
                </c:pt>
                <c:pt idx="51">
                  <c:v>11548</c:v>
                </c:pt>
                <c:pt idx="52">
                  <c:v>3005</c:v>
                </c:pt>
                <c:pt idx="53">
                  <c:v>3010</c:v>
                </c:pt>
                <c:pt idx="54">
                  <c:v>9307</c:v>
                </c:pt>
                <c:pt idx="55">
                  <c:v>5624</c:v>
                </c:pt>
                <c:pt idx="56">
                  <c:v>5545</c:v>
                </c:pt>
                <c:pt idx="57">
                  <c:v>3012</c:v>
                </c:pt>
                <c:pt idx="58">
                  <c:v>9229</c:v>
                </c:pt>
                <c:pt idx="59">
                  <c:v>9270</c:v>
                </c:pt>
                <c:pt idx="60">
                  <c:v>10726</c:v>
                </c:pt>
                <c:pt idx="61">
                  <c:v>7055</c:v>
                </c:pt>
                <c:pt idx="62">
                  <c:v>7059</c:v>
                </c:pt>
                <c:pt idx="63">
                  <c:v>16339</c:v>
                </c:pt>
                <c:pt idx="64">
                  <c:v>11968</c:v>
                </c:pt>
                <c:pt idx="68">
                  <c:v>12801</c:v>
                </c:pt>
                <c:pt idx="69">
                  <c:v>12606</c:v>
                </c:pt>
                <c:pt idx="70">
                  <c:v>11243</c:v>
                </c:pt>
                <c:pt idx="71">
                  <c:v>16561</c:v>
                </c:pt>
                <c:pt idx="72">
                  <c:v>4849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{"Total Runs Auto-Opt"}</c15:sqref>
                        </c15:formulaRef>
                      </c:ext>
                    </c:extLst>
                    <c:strCache>
                      <c:ptCount val="1"/>
                      <c:pt idx="0">
                        <c:v>Total Runs Auto-Opt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8E-4BD3-8CD3-DBC5AB161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436935"/>
        <c:axId val="237438983"/>
      </c:scatterChart>
      <c:valAx>
        <c:axId val="237436935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38983"/>
        <c:crosses val="autoZero"/>
        <c:crossBetween val="midCat"/>
      </c:valAx>
      <c:valAx>
        <c:axId val="237438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36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1771650</xdr:colOff>
      <xdr:row>17</xdr:row>
      <xdr:rowOff>28575</xdr:rowOff>
    </xdr:from>
    <xdr:to>
      <xdr:col>3</xdr:col>
      <xdr:colOff>1352550</xdr:colOff>
      <xdr:row>28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B53472-350B-0EA1-588B-EC6EC350C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55A0-FF88-4E2F-BA64-4DA0874D30BA}">
  <dimension ref="A1:R947"/>
  <sheetViews>
    <sheetView topLeftCell="A91" zoomScale="92" zoomScaleNormal="85" workbookViewId="0">
      <selection activeCell="B115" sqref="B115"/>
    </sheetView>
  </sheetViews>
  <sheetFormatPr defaultColWidth="8.85546875" defaultRowHeight="15"/>
  <cols>
    <col min="1" max="1" width="24.140625" style="41" bestFit="1" customWidth="1"/>
    <col min="2" max="2" width="44.42578125" style="25" customWidth="1"/>
    <col min="3" max="3" width="56.7109375" style="42" bestFit="1" customWidth="1"/>
    <col min="4" max="4" width="23.28515625" style="42" customWidth="1"/>
    <col min="5" max="5" width="26.28515625" style="42" customWidth="1"/>
    <col min="6" max="6" width="7" style="42" bestFit="1" customWidth="1"/>
    <col min="7" max="7" width="7.28515625" style="42" bestFit="1" customWidth="1"/>
    <col min="8" max="8" width="8.28515625" style="42" bestFit="1" customWidth="1"/>
    <col min="9" max="9" width="10.85546875" style="42" bestFit="1" customWidth="1"/>
    <col min="10" max="10" width="25.42578125" style="42" customWidth="1"/>
    <col min="11" max="11" width="19.7109375" style="53" bestFit="1" customWidth="1"/>
    <col min="12" max="12" width="14.85546875" style="53" customWidth="1"/>
    <col min="13" max="13" width="15.140625" style="25" customWidth="1"/>
    <col min="14" max="15" width="13.28515625" style="25" customWidth="1"/>
    <col min="16" max="16" width="79" style="25" bestFit="1" customWidth="1"/>
    <col min="17" max="17" width="9.140625" bestFit="1" customWidth="1"/>
  </cols>
  <sheetData>
    <row r="1" spans="1:16" ht="14.4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3"/>
      <c r="P1" s="34"/>
    </row>
    <row r="2" spans="1:16" ht="48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4" t="s">
        <v>11</v>
      </c>
      <c r="L2" s="66" t="s">
        <v>12</v>
      </c>
      <c r="M2" s="66" t="s">
        <v>13</v>
      </c>
      <c r="N2" s="66" t="s">
        <v>14</v>
      </c>
      <c r="O2" s="67" t="s">
        <v>15</v>
      </c>
      <c r="P2" s="33" t="s">
        <v>16</v>
      </c>
    </row>
    <row r="3" spans="1:16" ht="53.25" customHeight="1">
      <c r="A3" s="18" t="s">
        <v>17</v>
      </c>
      <c r="B3" s="20" t="s">
        <v>18</v>
      </c>
      <c r="C3" s="39" t="s">
        <v>18</v>
      </c>
      <c r="D3" s="29" t="s">
        <v>18</v>
      </c>
      <c r="E3" s="29"/>
      <c r="F3" s="55"/>
      <c r="G3" s="55"/>
      <c r="H3" s="103" t="s">
        <v>19</v>
      </c>
      <c r="I3" s="55"/>
      <c r="J3" s="55"/>
      <c r="K3" s="10"/>
      <c r="L3" s="10"/>
      <c r="M3" s="10"/>
      <c r="N3" s="10"/>
      <c r="O3" s="68"/>
      <c r="P3" s="9" t="s">
        <v>18</v>
      </c>
    </row>
    <row r="4" spans="1:16" ht="43.5" customHeight="1">
      <c r="A4" s="18" t="s">
        <v>20</v>
      </c>
      <c r="B4" s="20"/>
      <c r="C4" s="39"/>
      <c r="D4" s="29"/>
      <c r="E4" s="29"/>
      <c r="F4" s="55" t="s">
        <v>21</v>
      </c>
      <c r="G4" s="55" t="s">
        <v>22</v>
      </c>
      <c r="H4" s="55" t="s">
        <v>23</v>
      </c>
      <c r="I4" s="55" t="s">
        <v>24</v>
      </c>
      <c r="J4" s="55" t="s">
        <v>25</v>
      </c>
      <c r="K4" s="10"/>
      <c r="L4" s="10"/>
      <c r="M4" s="10"/>
      <c r="N4" s="10"/>
      <c r="O4" s="68"/>
      <c r="P4" s="9"/>
    </row>
    <row r="5" spans="1:16" ht="15.95">
      <c r="A5" s="18" t="s">
        <v>26</v>
      </c>
      <c r="B5" s="20" t="s">
        <v>18</v>
      </c>
      <c r="C5" s="39" t="s">
        <v>18</v>
      </c>
      <c r="D5" s="29" t="s">
        <v>18</v>
      </c>
      <c r="E5" s="29"/>
      <c r="F5" s="55">
        <v>0.59799999999999998</v>
      </c>
      <c r="G5" s="55">
        <v>0.27900000000000003</v>
      </c>
      <c r="H5" s="55">
        <v>0.47</v>
      </c>
      <c r="I5" s="55">
        <v>5.4</v>
      </c>
      <c r="J5" s="55" t="s">
        <v>27</v>
      </c>
      <c r="K5" s="10" cm="1">
        <f t="array" aca="1" ref="K5" ca="1">SUM(VALUE(TRIM(MID(SUBSTITUTE(J5,",",REPT(" ",100)),(ROW(INDIRECT("1:3"))-1)*100+1,100))))</f>
        <v>3046</v>
      </c>
      <c r="L5" s="10"/>
      <c r="M5" s="10"/>
      <c r="N5" s="10"/>
      <c r="O5" s="68"/>
      <c r="P5" s="9" t="s">
        <v>18</v>
      </c>
    </row>
    <row r="6" spans="1:16" ht="32.1">
      <c r="A6" s="18" t="s">
        <v>28</v>
      </c>
      <c r="B6" s="20"/>
      <c r="C6" s="39"/>
      <c r="D6" s="29"/>
      <c r="E6" s="29"/>
      <c r="F6" s="55"/>
      <c r="G6" s="55"/>
      <c r="H6" s="100" t="s">
        <v>29</v>
      </c>
      <c r="I6" s="55"/>
      <c r="J6" s="55"/>
      <c r="K6" s="10"/>
      <c r="L6" s="10"/>
      <c r="M6" s="10"/>
      <c r="N6" s="10"/>
      <c r="O6" s="68"/>
      <c r="P6" s="9"/>
    </row>
    <row r="7" spans="1:16" ht="62.25" customHeight="1">
      <c r="A7" s="18" t="s">
        <v>30</v>
      </c>
      <c r="B7" s="20"/>
      <c r="C7" s="39"/>
      <c r="D7" s="29"/>
      <c r="E7" s="29"/>
      <c r="F7" s="55" t="s">
        <v>31</v>
      </c>
      <c r="G7" s="55" t="s">
        <v>32</v>
      </c>
      <c r="H7" s="103" t="s">
        <v>33</v>
      </c>
      <c r="I7" s="55" t="s">
        <v>34</v>
      </c>
      <c r="J7" s="55" t="s">
        <v>35</v>
      </c>
      <c r="K7" s="10"/>
      <c r="L7" s="10"/>
      <c r="M7" s="10"/>
      <c r="N7" s="10"/>
      <c r="O7" s="68"/>
      <c r="P7" s="9"/>
    </row>
    <row r="8" spans="1:16" ht="15.95">
      <c r="A8" s="18" t="s">
        <v>36</v>
      </c>
      <c r="B8" s="19" t="s">
        <v>18</v>
      </c>
      <c r="C8" s="39" t="s">
        <v>18</v>
      </c>
      <c r="D8" s="29" t="s">
        <v>18</v>
      </c>
      <c r="E8" s="29"/>
      <c r="F8" s="55">
        <v>0.81699999999999995</v>
      </c>
      <c r="G8" s="55">
        <v>0.47099999999999997</v>
      </c>
      <c r="H8" s="55">
        <v>0.67900000000000005</v>
      </c>
      <c r="I8" s="55">
        <v>6.3</v>
      </c>
      <c r="J8" s="55" t="s">
        <v>37</v>
      </c>
      <c r="K8" s="10" cm="1">
        <f t="array" aca="1" ref="K8" ca="1">SUM(VALUE(TRIM(MID(SUBSTITUTE(J8,",",REPT(" ",100)),(ROW(INDIRECT("1:3"))-1)*100+1,100))))</f>
        <v>3383</v>
      </c>
      <c r="L8" s="10"/>
      <c r="M8" s="10"/>
      <c r="N8" s="10"/>
      <c r="O8" s="68"/>
      <c r="P8" s="8" t="s">
        <v>18</v>
      </c>
    </row>
    <row r="9" spans="1:16" ht="15.95">
      <c r="A9" s="18" t="s">
        <v>38</v>
      </c>
      <c r="B9" s="19" t="s">
        <v>18</v>
      </c>
      <c r="C9" s="39" t="s">
        <v>18</v>
      </c>
      <c r="D9" s="29" t="s">
        <v>18</v>
      </c>
      <c r="E9" s="29"/>
      <c r="F9" s="55">
        <v>0.84099999999999997</v>
      </c>
      <c r="G9" s="55">
        <v>0.69399999999999995</v>
      </c>
      <c r="H9" s="55">
        <v>0.78200000000000003</v>
      </c>
      <c r="I9" s="55">
        <v>7.7</v>
      </c>
      <c r="J9" s="55" t="s">
        <v>39</v>
      </c>
      <c r="K9" s="10" cm="1">
        <f t="array" aca="1" ref="K9" ca="1">SUM(VALUE(TRIM(MID(SUBSTITUTE(J9,",",REPT(" ",100)),(ROW(INDIRECT("1:3"))-1)*100+1,100))))</f>
        <v>3645</v>
      </c>
      <c r="L9" s="10"/>
      <c r="M9" s="10"/>
      <c r="N9" s="10"/>
      <c r="O9" s="68"/>
      <c r="P9" s="8" t="s">
        <v>18</v>
      </c>
    </row>
    <row r="10" spans="1:16" ht="15.95">
      <c r="A10" s="18" t="s">
        <v>40</v>
      </c>
      <c r="B10" s="19" t="s">
        <v>18</v>
      </c>
      <c r="C10" s="28" t="s">
        <v>18</v>
      </c>
      <c r="D10" s="29" t="s">
        <v>18</v>
      </c>
      <c r="E10" s="29"/>
      <c r="F10" s="55">
        <v>0.89</v>
      </c>
      <c r="G10" s="55">
        <v>0.78600000000000003</v>
      </c>
      <c r="H10" s="55">
        <v>0.84899999999999998</v>
      </c>
      <c r="I10" s="55">
        <v>7.2</v>
      </c>
      <c r="J10" s="55" t="s">
        <v>41</v>
      </c>
      <c r="K10" s="10" cm="1">
        <f t="array" aca="1" ref="K10" ca="1">SUM(VALUE(TRIM(MID(SUBSTITUTE(J10,",",REPT(" ",100)),(ROW(INDIRECT("1:3"))-1)*100+1,100))))</f>
        <v>3636</v>
      </c>
      <c r="L10" s="10"/>
      <c r="M10" s="10"/>
      <c r="N10" s="10"/>
      <c r="O10" s="68"/>
      <c r="P10" s="8" t="s">
        <v>18</v>
      </c>
    </row>
    <row r="11" spans="1:16" ht="52.5" customHeight="1">
      <c r="A11" s="18" t="s">
        <v>42</v>
      </c>
      <c r="B11" s="19"/>
      <c r="C11" s="28"/>
      <c r="D11" s="29"/>
      <c r="E11" s="29"/>
      <c r="F11" s="55" t="s">
        <v>43</v>
      </c>
      <c r="G11" s="55" t="s">
        <v>44</v>
      </c>
      <c r="H11" s="55" t="s">
        <v>45</v>
      </c>
      <c r="I11" s="55" t="s">
        <v>46</v>
      </c>
      <c r="J11" s="55" t="s">
        <v>47</v>
      </c>
      <c r="K11" s="10"/>
      <c r="L11" s="10"/>
      <c r="M11" s="10"/>
      <c r="N11" s="10"/>
      <c r="O11" s="68"/>
      <c r="P11" s="8"/>
    </row>
    <row r="12" spans="1:16" ht="15.95">
      <c r="A12" s="18" t="s">
        <v>48</v>
      </c>
      <c r="B12" s="20" t="s">
        <v>18</v>
      </c>
      <c r="C12" s="28" t="s">
        <v>18</v>
      </c>
      <c r="D12" s="29" t="s">
        <v>18</v>
      </c>
      <c r="E12" s="29"/>
      <c r="F12" s="55">
        <v>0.74399999999999999</v>
      </c>
      <c r="G12" s="55">
        <v>0.59799999999999998</v>
      </c>
      <c r="H12" s="55">
        <v>0.68500000000000005</v>
      </c>
      <c r="I12" s="55">
        <v>5.8</v>
      </c>
      <c r="J12" s="55" t="s">
        <v>49</v>
      </c>
      <c r="K12" s="61">
        <v>2541</v>
      </c>
      <c r="L12" s="61"/>
      <c r="M12" s="61"/>
      <c r="N12" s="61"/>
      <c r="O12" s="69"/>
      <c r="P12" s="9" t="s">
        <v>18</v>
      </c>
    </row>
    <row r="13" spans="1:16" ht="62.25" customHeight="1">
      <c r="A13" s="18" t="s">
        <v>50</v>
      </c>
      <c r="B13" s="20"/>
      <c r="C13" s="28"/>
      <c r="D13" s="29"/>
      <c r="E13" s="29"/>
      <c r="F13" s="55" t="s">
        <v>51</v>
      </c>
      <c r="G13" s="55" t="s">
        <v>52</v>
      </c>
      <c r="H13" s="55" t="s">
        <v>53</v>
      </c>
      <c r="I13" s="55" t="s">
        <v>54</v>
      </c>
      <c r="J13" s="55" t="s">
        <v>55</v>
      </c>
      <c r="K13" s="61"/>
      <c r="L13" s="61"/>
      <c r="M13" s="61"/>
      <c r="N13" s="61"/>
      <c r="O13" s="69"/>
      <c r="P13" s="9"/>
    </row>
    <row r="14" spans="1:16" ht="15.95">
      <c r="A14" s="18" t="s">
        <v>56</v>
      </c>
      <c r="B14" s="19" t="s">
        <v>18</v>
      </c>
      <c r="C14" s="28" t="s">
        <v>18</v>
      </c>
      <c r="D14" s="29" t="s">
        <v>18</v>
      </c>
      <c r="E14" s="29"/>
      <c r="F14" s="55">
        <v>0.90200000000000002</v>
      </c>
      <c r="G14" s="55">
        <v>0.72799999999999998</v>
      </c>
      <c r="H14" s="55">
        <v>0.83299999999999996</v>
      </c>
      <c r="I14" s="55">
        <v>5.8</v>
      </c>
      <c r="J14" s="55" t="s">
        <v>57</v>
      </c>
      <c r="K14" s="10" cm="1">
        <f t="array" aca="1" ref="K14" ca="1">SUM(VALUE(TRIM(MID(SUBSTITUTE(J14,",",REPT(" ",100)),(ROW(INDIRECT("1:3"))-1)*100+1,100))))</f>
        <v>2893</v>
      </c>
      <c r="L14" s="10"/>
      <c r="M14" s="10"/>
      <c r="N14" s="10"/>
      <c r="O14" s="68"/>
      <c r="P14" s="8" t="s">
        <v>18</v>
      </c>
    </row>
    <row r="15" spans="1:16" ht="15.95">
      <c r="A15" s="18" t="s">
        <v>58</v>
      </c>
      <c r="B15" s="19" t="s">
        <v>18</v>
      </c>
      <c r="C15" s="28" t="s">
        <v>18</v>
      </c>
      <c r="D15" s="29" t="s">
        <v>18</v>
      </c>
      <c r="E15" s="29"/>
      <c r="F15" s="55">
        <v>0.90200000000000002</v>
      </c>
      <c r="G15" s="55">
        <v>0.83299999999999996</v>
      </c>
      <c r="H15" s="55">
        <v>0.875</v>
      </c>
      <c r="I15" s="55">
        <v>7.4</v>
      </c>
      <c r="J15" s="55" t="s">
        <v>59</v>
      </c>
      <c r="K15" s="10" cm="1">
        <f t="array" aca="1" ref="K15" ca="1">SUM(VALUE(TRIM(MID(SUBSTITUTE(J15,",",REPT(" ",100)),(ROW(INDIRECT("1:3"))-1)*100+1,100))))</f>
        <v>3159</v>
      </c>
      <c r="L15" s="10"/>
      <c r="M15" s="10"/>
      <c r="N15" s="10"/>
      <c r="O15" s="68"/>
      <c r="P15" s="8" t="s">
        <v>18</v>
      </c>
    </row>
    <row r="16" spans="1:16" ht="15.95">
      <c r="A16" s="18" t="s">
        <v>60</v>
      </c>
      <c r="B16" s="19" t="s">
        <v>18</v>
      </c>
      <c r="C16" s="28" t="s">
        <v>18</v>
      </c>
      <c r="D16" s="29" t="s">
        <v>18</v>
      </c>
      <c r="E16" s="29"/>
      <c r="F16" s="55">
        <v>0.90200000000000002</v>
      </c>
      <c r="G16" s="55">
        <v>0.82499999999999996</v>
      </c>
      <c r="H16" s="55">
        <v>0.871</v>
      </c>
      <c r="I16" s="55">
        <v>6.8</v>
      </c>
      <c r="J16" s="55" t="s">
        <v>61</v>
      </c>
      <c r="K16" s="10" cm="1">
        <f t="array" aca="1" ref="K16" ca="1">SUM(VALUE(TRIM(MID(SUBSTITUTE(J16,",",REPT(" ",100)),(ROW(INDIRECT("1:3"))-1)*100+1,100))))</f>
        <v>2769</v>
      </c>
      <c r="L16" s="10"/>
      <c r="M16" s="10"/>
      <c r="N16" s="10"/>
      <c r="O16" s="68"/>
      <c r="P16" s="8" t="s">
        <v>18</v>
      </c>
    </row>
    <row r="17" spans="1:16" ht="15.95">
      <c r="A17" s="18" t="s">
        <v>62</v>
      </c>
      <c r="B17" s="20" t="s">
        <v>18</v>
      </c>
      <c r="C17" s="28" t="s">
        <v>18</v>
      </c>
      <c r="D17" s="29" t="s">
        <v>18</v>
      </c>
      <c r="E17" s="29"/>
      <c r="F17" s="55">
        <v>0.79300000000000004</v>
      </c>
      <c r="G17" s="55">
        <v>0.72199999999999998</v>
      </c>
      <c r="H17" s="55">
        <v>0.76400000000000001</v>
      </c>
      <c r="I17" s="55">
        <v>8.8000000000000007</v>
      </c>
      <c r="J17" s="55" t="s">
        <v>63</v>
      </c>
      <c r="K17" s="10" cm="1">
        <f t="array" aca="1" ref="K17" ca="1">SUM(VALUE(TRIM(MID(SUBSTITUTE(J17,",",REPT(" ",100)),(ROW(INDIRECT("1:3"))-1)*100+1,100))))</f>
        <v>2791</v>
      </c>
      <c r="L17" s="10"/>
      <c r="M17" s="10"/>
      <c r="N17" s="10"/>
      <c r="O17" s="68"/>
      <c r="P17" s="9" t="s">
        <v>18</v>
      </c>
    </row>
    <row r="18" spans="1:16" ht="15.95">
      <c r="A18" s="18" t="s">
        <v>64</v>
      </c>
      <c r="B18" s="19" t="s">
        <v>18</v>
      </c>
      <c r="C18" s="17" t="s">
        <v>18</v>
      </c>
      <c r="D18" s="54" t="s">
        <v>18</v>
      </c>
      <c r="E18" s="54"/>
      <c r="F18" s="55">
        <v>0.81699999999999995</v>
      </c>
      <c r="G18" s="55">
        <v>0.72499999999999998</v>
      </c>
      <c r="H18" s="55">
        <v>0.78</v>
      </c>
      <c r="I18" s="55">
        <v>8.8000000000000007</v>
      </c>
      <c r="J18" s="55" t="s">
        <v>65</v>
      </c>
      <c r="K18" s="10" cm="1">
        <f t="array" aca="1" ref="K18" ca="1">SUM(VALUE(TRIM(MID(SUBSTITUTE(J18,",",REPT(" ",100)),(ROW(INDIRECT("1:3"))-1)*100+1,100))))</f>
        <v>3040</v>
      </c>
      <c r="L18" s="10"/>
      <c r="M18" s="10"/>
      <c r="N18" s="10"/>
      <c r="O18" s="68"/>
      <c r="P18" s="8" t="s">
        <v>18</v>
      </c>
    </row>
    <row r="19" spans="1:16" ht="15.95">
      <c r="A19" s="18" t="s">
        <v>66</v>
      </c>
      <c r="B19" s="19" t="s">
        <v>18</v>
      </c>
      <c r="C19" s="17" t="s">
        <v>18</v>
      </c>
      <c r="D19" s="54" t="s">
        <v>18</v>
      </c>
      <c r="E19" s="54"/>
      <c r="F19" s="55">
        <v>0.82899999999999996</v>
      </c>
      <c r="G19" s="55">
        <v>0.75</v>
      </c>
      <c r="H19" s="55">
        <v>0.79800000000000004</v>
      </c>
      <c r="I19" s="55">
        <v>10.4</v>
      </c>
      <c r="J19" s="55" t="s">
        <v>67</v>
      </c>
      <c r="K19" s="10" cm="1">
        <f t="array" aca="1" ref="K19" ca="1">SUM(VALUE(TRIM(MID(SUBSTITUTE(J19,",",REPT(" ",100)),(ROW(INDIRECT("1:3"))-1)*100+1,100))))</f>
        <v>3420</v>
      </c>
      <c r="L19" s="10"/>
      <c r="M19" s="10"/>
      <c r="N19" s="10"/>
      <c r="O19" s="68"/>
      <c r="P19" s="8" t="s">
        <v>18</v>
      </c>
    </row>
    <row r="20" spans="1:16" ht="15.95">
      <c r="A20" s="18" t="s">
        <v>68</v>
      </c>
      <c r="B20" s="19" t="s">
        <v>18</v>
      </c>
      <c r="C20" s="17" t="s">
        <v>18</v>
      </c>
      <c r="D20" s="54" t="s">
        <v>18</v>
      </c>
      <c r="E20" s="54"/>
      <c r="F20" s="55">
        <v>0.85399999999999998</v>
      </c>
      <c r="G20" s="55">
        <v>0.81399999999999995</v>
      </c>
      <c r="H20" s="55">
        <v>0.83799999999999997</v>
      </c>
      <c r="I20" s="55">
        <v>11.1</v>
      </c>
      <c r="J20" s="55" t="s">
        <v>69</v>
      </c>
      <c r="K20" s="10" cm="1">
        <f t="array" aca="1" ref="K20" ca="1">SUM(VALUE(TRIM(MID(SUBSTITUTE(J20,",",REPT(" ",100)),(ROW(INDIRECT("1:3"))-1)*100+1,100))))</f>
        <v>3007</v>
      </c>
      <c r="L20" s="10"/>
      <c r="M20" s="10"/>
      <c r="N20" s="10"/>
      <c r="O20" s="68"/>
      <c r="P20" s="8" t="s">
        <v>18</v>
      </c>
    </row>
    <row r="21" spans="1:16" ht="15.95">
      <c r="A21" s="18" t="s">
        <v>70</v>
      </c>
      <c r="B21" s="20" t="s">
        <v>18</v>
      </c>
      <c r="C21" s="17" t="s">
        <v>18</v>
      </c>
      <c r="D21" s="54" t="s">
        <v>18</v>
      </c>
      <c r="E21" s="54"/>
      <c r="F21" s="55">
        <v>0.878</v>
      </c>
      <c r="G21" s="55">
        <v>0.76400000000000001</v>
      </c>
      <c r="H21" s="55">
        <v>0.83199999999999996</v>
      </c>
      <c r="I21" s="55">
        <v>8.5</v>
      </c>
      <c r="J21" s="55" t="s">
        <v>71</v>
      </c>
      <c r="K21" s="11" cm="1">
        <f t="array" aca="1" ref="K21" ca="1">SUM(VALUE(TRIM(MID(SUBSTITUTE(J21,",",REPT(" ",100)),(ROW(INDIRECT("1:3"))-1)*100+1,100))))</f>
        <v>2564</v>
      </c>
      <c r="L21" s="11"/>
      <c r="M21" s="11"/>
      <c r="N21" s="11"/>
      <c r="O21" s="70"/>
      <c r="P21" s="9" t="s">
        <v>18</v>
      </c>
    </row>
    <row r="22" spans="1:16" ht="15.95">
      <c r="A22" s="18" t="s">
        <v>72</v>
      </c>
      <c r="B22" s="19" t="s">
        <v>18</v>
      </c>
      <c r="C22" s="17" t="s">
        <v>18</v>
      </c>
      <c r="D22" s="54" t="s">
        <v>18</v>
      </c>
      <c r="E22" s="54"/>
      <c r="F22" s="55">
        <v>0.95099999999999996</v>
      </c>
      <c r="G22" s="55">
        <v>0.86899999999999999</v>
      </c>
      <c r="H22" s="55">
        <v>0.91800000000000004</v>
      </c>
      <c r="I22" s="55">
        <v>9.1999999999999993</v>
      </c>
      <c r="J22" s="55" t="s">
        <v>73</v>
      </c>
      <c r="K22" s="11" cm="1">
        <f t="array" aca="1" ref="K22" ca="1">SUM(VALUE(TRIM(MID(SUBSTITUTE(J22,",",REPT(" ",100)),(ROW(INDIRECT("1:3"))-1)*100+1,100))))</f>
        <v>2864</v>
      </c>
      <c r="L22" s="11"/>
      <c r="M22" s="11"/>
      <c r="N22" s="11"/>
      <c r="O22" s="70"/>
      <c r="P22" s="8" t="s">
        <v>18</v>
      </c>
    </row>
    <row r="23" spans="1:16" ht="15.95">
      <c r="A23" s="18" t="s">
        <v>74</v>
      </c>
      <c r="B23" s="19" t="s">
        <v>18</v>
      </c>
      <c r="C23" s="17" t="s">
        <v>18</v>
      </c>
      <c r="D23" s="54" t="s">
        <v>18</v>
      </c>
      <c r="E23" s="54"/>
      <c r="F23" s="55">
        <v>0.85399999999999998</v>
      </c>
      <c r="G23" s="55">
        <v>0.79100000000000004</v>
      </c>
      <c r="H23" s="55">
        <v>0.82899999999999996</v>
      </c>
      <c r="I23" s="55">
        <v>10.9</v>
      </c>
      <c r="J23" s="55" t="s">
        <v>75</v>
      </c>
      <c r="K23" s="10" cm="1">
        <f t="array" aca="1" ref="K23" ca="1">SUM(VALUE(TRIM(MID(SUBSTITUTE(J23,",",REPT(" ",100)),(ROW(INDIRECT("1:3"))-1)*100+1,100))))</f>
        <v>3172</v>
      </c>
      <c r="L23" s="10"/>
      <c r="M23" s="10"/>
      <c r="N23" s="10"/>
      <c r="O23" s="68"/>
      <c r="P23" s="8" t="s">
        <v>18</v>
      </c>
    </row>
    <row r="24" spans="1:16" ht="15.95">
      <c r="A24" s="18" t="s">
        <v>76</v>
      </c>
      <c r="B24" s="19" t="s">
        <v>18</v>
      </c>
      <c r="C24" s="7" t="s">
        <v>18</v>
      </c>
      <c r="D24" s="54" t="s">
        <v>18</v>
      </c>
      <c r="E24" s="54"/>
      <c r="F24" s="55">
        <v>0.91500000000000004</v>
      </c>
      <c r="G24" s="55">
        <v>0.873</v>
      </c>
      <c r="H24" s="55">
        <v>0.89800000000000002</v>
      </c>
      <c r="I24" s="55">
        <v>11</v>
      </c>
      <c r="J24" s="55" t="s">
        <v>77</v>
      </c>
      <c r="K24" s="10" cm="1">
        <f t="array" aca="1" ref="K24" ca="1">SUM(VALUE(TRIM(MID(SUBSTITUTE(J24,",",REPT(" ",100)),(ROW(INDIRECT("1:3"))-1)*100+1,100))))</f>
        <v>2776</v>
      </c>
      <c r="L24" s="10"/>
      <c r="M24" s="10"/>
      <c r="N24" s="10"/>
      <c r="O24" s="68"/>
      <c r="P24" s="8" t="s">
        <v>18</v>
      </c>
    </row>
    <row r="25" spans="1:16" ht="15.95">
      <c r="A25" s="18" t="s">
        <v>78</v>
      </c>
      <c r="B25" s="20" t="s">
        <v>18</v>
      </c>
      <c r="C25" s="17" t="s">
        <v>18</v>
      </c>
      <c r="D25" s="54" t="s">
        <v>18</v>
      </c>
      <c r="E25" s="54"/>
      <c r="F25" s="55">
        <v>0.91500000000000004</v>
      </c>
      <c r="G25" s="55">
        <v>0.82799999999999996</v>
      </c>
      <c r="H25" s="55">
        <v>0.88</v>
      </c>
      <c r="I25" s="55">
        <v>9.8000000000000007</v>
      </c>
      <c r="J25" s="55" t="s">
        <v>79</v>
      </c>
      <c r="K25" s="10" cm="1">
        <f t="array" aca="1" ref="K25" ca="1">SUM(VALUE(TRIM(MID(SUBSTITUTE(J25,",",REPT(" ",100)),(ROW(INDIRECT("1:3"))-1)*100+1,100))))</f>
        <v>2716</v>
      </c>
      <c r="L25" s="10"/>
      <c r="M25" s="10"/>
      <c r="N25" s="10"/>
      <c r="O25" s="68"/>
      <c r="P25" s="9" t="s">
        <v>18</v>
      </c>
    </row>
    <row r="26" spans="1:16" ht="15.95">
      <c r="A26" s="18" t="s">
        <v>80</v>
      </c>
      <c r="B26" s="19" t="s">
        <v>18</v>
      </c>
      <c r="C26" s="17" t="s">
        <v>18</v>
      </c>
      <c r="D26" s="54" t="s">
        <v>18</v>
      </c>
      <c r="E26" s="54"/>
      <c r="F26" s="55">
        <v>0.89</v>
      </c>
      <c r="G26" s="55">
        <v>0.80700000000000005</v>
      </c>
      <c r="H26" s="55">
        <v>0.85699999999999998</v>
      </c>
      <c r="I26" s="55">
        <v>13</v>
      </c>
      <c r="J26" s="55" t="s">
        <v>81</v>
      </c>
      <c r="K26" s="10" cm="1">
        <f t="array" aca="1" ref="K26" ca="1">SUM(VALUE(TRIM(MID(SUBSTITUTE(J26,",",REPT(" ",100)),(ROW(INDIRECT("1:3"))-1)*100+1,100))))</f>
        <v>2979</v>
      </c>
      <c r="L26" s="10"/>
      <c r="M26" s="10"/>
      <c r="N26" s="10"/>
      <c r="O26" s="68"/>
      <c r="P26" s="8" t="s">
        <v>18</v>
      </c>
    </row>
    <row r="27" spans="1:16" ht="15.95">
      <c r="A27" s="18" t="s">
        <v>82</v>
      </c>
      <c r="B27" s="19" t="s">
        <v>18</v>
      </c>
      <c r="C27" s="17" t="s">
        <v>18</v>
      </c>
      <c r="D27" s="54" t="s">
        <v>18</v>
      </c>
      <c r="E27" s="54"/>
      <c r="F27" s="55">
        <v>0.91500000000000004</v>
      </c>
      <c r="G27" s="55">
        <v>0.84399999999999997</v>
      </c>
      <c r="H27" s="55">
        <v>0.88600000000000001</v>
      </c>
      <c r="I27" s="55">
        <v>12.1</v>
      </c>
      <c r="J27" s="55" t="s">
        <v>83</v>
      </c>
      <c r="K27" s="10" cm="1">
        <f t="array" aca="1" ref="K27" ca="1">SUM(VALUE(TRIM(MID(SUBSTITUTE(J27,",",REPT(" ",100)),(ROW(INDIRECT("1:3"))-1)*100+1,100))))</f>
        <v>3280</v>
      </c>
      <c r="L27" s="10"/>
      <c r="M27" s="10"/>
      <c r="N27" s="10"/>
      <c r="O27" s="68"/>
      <c r="P27" s="8" t="s">
        <v>18</v>
      </c>
    </row>
    <row r="28" spans="1:16" ht="15.95">
      <c r="A28" s="18" t="s">
        <v>84</v>
      </c>
      <c r="B28" s="19" t="s">
        <v>18</v>
      </c>
      <c r="C28" s="7" t="s">
        <v>18</v>
      </c>
      <c r="D28" s="54" t="s">
        <v>18</v>
      </c>
      <c r="E28" s="54"/>
      <c r="F28" s="55">
        <v>0.89</v>
      </c>
      <c r="G28" s="55">
        <v>0.85499999999999998</v>
      </c>
      <c r="H28" s="55">
        <v>0.876</v>
      </c>
      <c r="I28" s="55">
        <v>13</v>
      </c>
      <c r="J28" s="55" t="s">
        <v>85</v>
      </c>
      <c r="K28" s="10" cm="1">
        <f t="array" aca="1" ref="K28" ca="1">SUM(VALUE(TRIM(MID(SUBSTITUTE(J28,",",REPT(" ",100)),(ROW(INDIRECT("1:3"))-1)*100+1,100))))</f>
        <v>2874</v>
      </c>
      <c r="L28" s="10"/>
      <c r="M28" s="10"/>
      <c r="N28" s="10"/>
      <c r="O28" s="68"/>
      <c r="P28" s="8" t="s">
        <v>18</v>
      </c>
    </row>
    <row r="29" spans="1:16" ht="29.25" customHeight="1">
      <c r="A29" s="121" t="s">
        <v>86</v>
      </c>
      <c r="B29" s="21" t="s">
        <v>87</v>
      </c>
      <c r="C29" s="125" t="s">
        <v>88</v>
      </c>
      <c r="D29" s="125"/>
      <c r="E29" s="6" t="s">
        <v>89</v>
      </c>
      <c r="F29" s="22">
        <v>0.91500000000000004</v>
      </c>
      <c r="G29" s="22">
        <v>0.83699999999999997</v>
      </c>
      <c r="H29" s="62">
        <v>0.88400000000000001</v>
      </c>
      <c r="I29" s="61">
        <v>10.9</v>
      </c>
      <c r="J29" s="22" t="s">
        <v>90</v>
      </c>
      <c r="K29" s="23" cm="1">
        <f t="array" aca="1" ref="K29" ca="1">SUM(VALUE(TRIM(MID(SUBSTITUTE(J29,",",REPT(" ",100)),(ROW(INDIRECT("1:3"))-1)*100+1,100))))</f>
        <v>12044</v>
      </c>
      <c r="L29" s="23"/>
      <c r="M29" s="23"/>
      <c r="N29" s="23"/>
      <c r="O29" s="71"/>
      <c r="P29" s="6" t="s">
        <v>91</v>
      </c>
    </row>
    <row r="30" spans="1:16">
      <c r="A30" s="121"/>
      <c r="B30" s="21" t="s">
        <v>87</v>
      </c>
      <c r="C30" s="5" t="s">
        <v>92</v>
      </c>
      <c r="D30" s="113" t="s">
        <v>88</v>
      </c>
      <c r="E30" s="6" t="s">
        <v>93</v>
      </c>
      <c r="F30" s="22">
        <v>0.89</v>
      </c>
      <c r="G30" s="22">
        <v>0.82799999999999996</v>
      </c>
      <c r="H30" s="62">
        <v>0.86499999999999999</v>
      </c>
      <c r="I30" s="61">
        <v>8.1999999999999993</v>
      </c>
      <c r="J30" s="22" t="s">
        <v>94</v>
      </c>
      <c r="K30" s="23" cm="1">
        <f t="array" aca="1" ref="K30" ca="1">SUM(VALUE(TRIM(MID(SUBSTITUTE(J30,",",REPT(" ",100)),(ROW(INDIRECT("1:3"))-1)*100+1,100))))</f>
        <v>6389</v>
      </c>
      <c r="L30" s="23"/>
      <c r="M30" s="23"/>
      <c r="N30" s="23"/>
      <c r="O30" s="71"/>
      <c r="P30" s="6" t="s">
        <v>91</v>
      </c>
    </row>
    <row r="31" spans="1:16">
      <c r="A31" s="121"/>
      <c r="B31" s="21" t="s">
        <v>87</v>
      </c>
      <c r="C31" s="5" t="s">
        <v>92</v>
      </c>
      <c r="D31" s="5"/>
      <c r="E31" s="6" t="s">
        <v>95</v>
      </c>
      <c r="F31" s="22">
        <v>0.92700000000000005</v>
      </c>
      <c r="G31" s="22">
        <v>0.877</v>
      </c>
      <c r="H31" s="22">
        <v>0.90700000000000003</v>
      </c>
      <c r="I31" s="22">
        <v>7.7</v>
      </c>
      <c r="J31" s="22" t="s">
        <v>96</v>
      </c>
      <c r="K31" s="23" cm="1">
        <f t="array" aca="1" ref="K31" ca="1">SUM(VALUE(TRIM(MID(SUBSTITUTE(J31,",",REPT(" ",100)),(ROW(INDIRECT("1:3"))-1)*100+1,100))))</f>
        <v>4912</v>
      </c>
      <c r="L31" s="23"/>
      <c r="M31" s="23"/>
      <c r="N31" s="23"/>
      <c r="O31" s="71"/>
      <c r="P31" s="6" t="s">
        <v>91</v>
      </c>
    </row>
    <row r="32" spans="1:16">
      <c r="A32" s="121"/>
      <c r="B32" s="21" t="s">
        <v>87</v>
      </c>
      <c r="C32" s="126" t="s">
        <v>97</v>
      </c>
      <c r="D32" s="126"/>
      <c r="E32" s="6" t="s">
        <v>98</v>
      </c>
      <c r="F32" s="22">
        <v>0.84099999999999997</v>
      </c>
      <c r="G32" s="22">
        <v>0.78100000000000003</v>
      </c>
      <c r="H32" s="22">
        <v>0.81699999999999995</v>
      </c>
      <c r="I32" s="22">
        <v>12.2</v>
      </c>
      <c r="J32" s="22" t="s">
        <v>99</v>
      </c>
      <c r="K32" s="23" cm="1">
        <f t="array" aca="1" ref="K32" ca="1">SUM(VALUE(TRIM(MID(SUBSTITUTE(J32,",",REPT(" ",100)),(ROW(INDIRECT("1:3"))-1)*100+1,100))))</f>
        <v>3129</v>
      </c>
      <c r="L32" s="23"/>
      <c r="M32" s="23"/>
      <c r="N32" s="23"/>
      <c r="O32" s="71"/>
      <c r="P32" s="6" t="s">
        <v>100</v>
      </c>
    </row>
    <row r="33" spans="1:17" ht="29.25" customHeight="1">
      <c r="A33" s="121" t="s">
        <v>101</v>
      </c>
      <c r="B33" s="122" t="s">
        <v>87</v>
      </c>
      <c r="C33" s="125" t="s">
        <v>88</v>
      </c>
      <c r="D33" s="125"/>
      <c r="E33" s="6" t="s">
        <v>102</v>
      </c>
      <c r="F33" s="22">
        <v>0.91500000000000004</v>
      </c>
      <c r="G33" s="22">
        <v>0.76800000000000002</v>
      </c>
      <c r="H33" s="62">
        <v>0.85599999999999998</v>
      </c>
      <c r="I33" s="61">
        <v>5.8</v>
      </c>
      <c r="J33" s="22" t="s">
        <v>103</v>
      </c>
      <c r="K33" s="23" cm="1">
        <f t="array" aca="1" ref="K33" ca="1">SUM(VALUE(TRIM(MID(SUBSTITUTE(J33,",",REPT(" ",100)),(ROW(INDIRECT("1:3"))-1)*100+1,100))))</f>
        <v>3018</v>
      </c>
      <c r="L33" s="23"/>
      <c r="M33" s="23"/>
      <c r="N33" s="23"/>
      <c r="O33" s="71" t="s">
        <v>104</v>
      </c>
      <c r="P33" s="6" t="s">
        <v>105</v>
      </c>
      <c r="Q33" t="s">
        <v>106</v>
      </c>
    </row>
    <row r="34" spans="1:17" ht="29.25" customHeight="1">
      <c r="A34" s="121"/>
      <c r="B34" s="123"/>
      <c r="C34" s="5" t="s">
        <v>88</v>
      </c>
      <c r="D34" s="114" t="s">
        <v>107</v>
      </c>
      <c r="E34" s="6" t="s">
        <v>108</v>
      </c>
      <c r="F34" s="72" t="s">
        <v>109</v>
      </c>
      <c r="G34" s="72" t="s">
        <v>110</v>
      </c>
      <c r="H34" s="76" t="s">
        <v>111</v>
      </c>
      <c r="I34" s="69" t="s">
        <v>112</v>
      </c>
      <c r="J34" s="72" t="s">
        <v>113</v>
      </c>
      <c r="K34" s="23" cm="1">
        <f t="array" aca="1" ref="K34" ca="1">SUM(VALUE(TRIM(MID(SUBSTITUTE(J34,",",REPT(" ",100)),(ROW(INDIRECT("1:3"))-1)*100+1,100))))</f>
        <v>3033</v>
      </c>
      <c r="L34" s="23"/>
      <c r="M34" s="23"/>
      <c r="N34" s="23"/>
      <c r="O34" s="71" t="s">
        <v>104</v>
      </c>
      <c r="P34" s="6"/>
    </row>
    <row r="35" spans="1:17" ht="29.25" customHeight="1">
      <c r="A35" s="121"/>
      <c r="B35" s="123"/>
      <c r="C35" s="5" t="s">
        <v>88</v>
      </c>
      <c r="D35" s="114" t="s">
        <v>114</v>
      </c>
      <c r="E35" s="6" t="s">
        <v>115</v>
      </c>
      <c r="F35" s="72" t="s">
        <v>116</v>
      </c>
      <c r="G35" s="72" t="s">
        <v>117</v>
      </c>
      <c r="H35" s="76" t="s">
        <v>118</v>
      </c>
      <c r="I35" s="69" t="s">
        <v>119</v>
      </c>
      <c r="J35" s="72" t="s">
        <v>120</v>
      </c>
      <c r="K35" s="23" cm="1">
        <f t="array" aca="1" ref="K35" ca="1">SUM(VALUE(TRIM(MID(SUBSTITUTE(J35,",",REPT(" ",100)),(ROW(INDIRECT("1:3"))-1)*100+1,100))))</f>
        <v>3009</v>
      </c>
      <c r="L35" s="23"/>
      <c r="M35" s="23"/>
      <c r="N35" s="23"/>
      <c r="O35" s="71" t="s">
        <v>104</v>
      </c>
      <c r="P35" s="6"/>
    </row>
    <row r="36" spans="1:17" ht="29.25" customHeight="1">
      <c r="A36" s="121"/>
      <c r="B36" s="123"/>
      <c r="C36" s="5" t="s">
        <v>88</v>
      </c>
      <c r="D36" s="114" t="s">
        <v>121</v>
      </c>
      <c r="E36" s="6" t="s">
        <v>115</v>
      </c>
      <c r="F36" s="72" t="s">
        <v>122</v>
      </c>
      <c r="G36" s="72" t="s">
        <v>123</v>
      </c>
      <c r="H36" s="76" t="s">
        <v>124</v>
      </c>
      <c r="I36" s="69" t="s">
        <v>125</v>
      </c>
      <c r="J36" s="72" t="s">
        <v>126</v>
      </c>
      <c r="K36" s="23"/>
      <c r="L36" s="23"/>
      <c r="M36" s="23"/>
      <c r="N36" s="23"/>
      <c r="O36" s="71" t="s">
        <v>104</v>
      </c>
      <c r="P36" s="6"/>
      <c r="Q36" t="s">
        <v>127</v>
      </c>
    </row>
    <row r="37" spans="1:17" ht="33" customHeight="1">
      <c r="A37" s="121"/>
      <c r="B37" s="123"/>
      <c r="C37" s="5" t="s">
        <v>88</v>
      </c>
      <c r="D37" s="114" t="s">
        <v>128</v>
      </c>
      <c r="E37" s="6" t="s">
        <v>115</v>
      </c>
      <c r="F37" s="72" t="s">
        <v>129</v>
      </c>
      <c r="G37" s="72" t="s">
        <v>130</v>
      </c>
      <c r="H37" s="76" t="s">
        <v>131</v>
      </c>
      <c r="I37" s="69" t="s">
        <v>132</v>
      </c>
      <c r="J37" s="72" t="s">
        <v>133</v>
      </c>
      <c r="K37" s="23"/>
      <c r="L37" s="23"/>
      <c r="M37" s="23"/>
      <c r="N37" s="23"/>
      <c r="O37" s="71" t="s">
        <v>104</v>
      </c>
      <c r="P37" s="6"/>
      <c r="Q37" t="s">
        <v>134</v>
      </c>
    </row>
    <row r="38" spans="1:17" ht="33" customHeight="1">
      <c r="A38" s="121"/>
      <c r="B38" s="124"/>
      <c r="C38" s="5" t="s">
        <v>88</v>
      </c>
      <c r="D38" s="114" t="s">
        <v>135</v>
      </c>
      <c r="E38" s="6" t="s">
        <v>115</v>
      </c>
      <c r="F38" s="72" t="s">
        <v>136</v>
      </c>
      <c r="G38" s="72" t="s">
        <v>137</v>
      </c>
      <c r="H38" s="76" t="s">
        <v>138</v>
      </c>
      <c r="I38" s="69" t="s">
        <v>139</v>
      </c>
      <c r="J38" s="72" t="s">
        <v>140</v>
      </c>
      <c r="K38" s="23"/>
      <c r="L38" s="23"/>
      <c r="M38" s="23"/>
      <c r="N38" s="23"/>
      <c r="O38" s="71" t="s">
        <v>104</v>
      </c>
      <c r="P38" s="6"/>
    </row>
    <row r="39" spans="1:17">
      <c r="A39" s="121"/>
      <c r="B39" s="21" t="s">
        <v>87</v>
      </c>
      <c r="C39" s="126" t="s">
        <v>92</v>
      </c>
      <c r="D39" s="126"/>
      <c r="E39" s="6" t="s">
        <v>141</v>
      </c>
      <c r="F39" s="22">
        <v>0.91500000000000004</v>
      </c>
      <c r="G39" s="22">
        <v>0.80600000000000005</v>
      </c>
      <c r="H39" s="22">
        <v>0.871</v>
      </c>
      <c r="I39" s="22">
        <v>5.0999999999999996</v>
      </c>
      <c r="J39" s="22" t="s">
        <v>142</v>
      </c>
      <c r="K39" s="23" cm="1">
        <f t="array" aca="1" ref="K39" ca="1">SUM(VALUE(TRIM(MID(SUBSTITUTE(J39,",",REPT(" ",100)),(ROW(INDIRECT("1:3"))-1)*100+1,100))))</f>
        <v>2991</v>
      </c>
      <c r="L39" s="23"/>
      <c r="M39" s="23"/>
      <c r="N39" s="23"/>
      <c r="O39" s="71"/>
      <c r="P39" s="6" t="s">
        <v>143</v>
      </c>
    </row>
    <row r="40" spans="1:17">
      <c r="A40" s="121"/>
      <c r="B40" s="21" t="s">
        <v>87</v>
      </c>
      <c r="C40" s="126" t="s">
        <v>97</v>
      </c>
      <c r="D40" s="126"/>
      <c r="E40" s="6" t="s">
        <v>144</v>
      </c>
      <c r="F40" s="22">
        <v>0.80500000000000005</v>
      </c>
      <c r="G40" s="56">
        <v>0.73499999999999999</v>
      </c>
      <c r="H40" s="22">
        <v>0.77700000000000002</v>
      </c>
      <c r="I40" s="22">
        <v>10.199999999999999</v>
      </c>
      <c r="J40" s="22" t="s">
        <v>145</v>
      </c>
      <c r="K40" s="23" cm="1">
        <f t="array" aca="1" ref="K40" ca="1">SUM(VALUE(TRIM(MID(SUBSTITUTE(J40,",",REPT(" ",100)),(ROW(INDIRECT("1:3"))-1)*100+1,100))))</f>
        <v>5660</v>
      </c>
      <c r="L40" s="23"/>
      <c r="M40" s="23"/>
      <c r="N40" s="23"/>
      <c r="O40" s="71"/>
      <c r="P40" s="6" t="s">
        <v>146</v>
      </c>
    </row>
    <row r="41" spans="1:17" ht="29.25" customHeight="1">
      <c r="A41" s="121"/>
      <c r="B41" s="127" t="s">
        <v>147</v>
      </c>
      <c r="C41" s="125" t="s">
        <v>88</v>
      </c>
      <c r="D41" s="125"/>
      <c r="E41" s="6" t="s">
        <v>148</v>
      </c>
      <c r="F41" s="22">
        <v>0.90200000000000002</v>
      </c>
      <c r="G41" s="22">
        <v>0.76800000000000002</v>
      </c>
      <c r="H41" s="62">
        <v>0.84899999999999998</v>
      </c>
      <c r="I41" s="61">
        <v>5.2</v>
      </c>
      <c r="J41" s="22" t="s">
        <v>149</v>
      </c>
      <c r="K41" s="23" cm="1">
        <f t="array" aca="1" ref="K41" ca="1">SUM(VALUE(TRIM(MID(SUBSTITUTE(J41,",",REPT(" ",100)),(ROW(INDIRECT("1:3"))-1)*100+1,100))))</f>
        <v>3020</v>
      </c>
      <c r="L41" s="23"/>
      <c r="M41" s="23"/>
      <c r="N41" s="23"/>
      <c r="O41" s="71" t="s">
        <v>150</v>
      </c>
      <c r="P41" s="6"/>
      <c r="Q41" t="s">
        <v>106</v>
      </c>
    </row>
    <row r="42" spans="1:17" ht="44.25" customHeight="1">
      <c r="A42" s="121"/>
      <c r="B42" s="127"/>
      <c r="C42" s="5" t="s">
        <v>88</v>
      </c>
      <c r="D42" s="114" t="s">
        <v>151</v>
      </c>
      <c r="E42" s="6" t="s">
        <v>152</v>
      </c>
      <c r="F42" s="72" t="s">
        <v>153</v>
      </c>
      <c r="G42" s="72" t="s">
        <v>154</v>
      </c>
      <c r="H42" s="76" t="s">
        <v>155</v>
      </c>
      <c r="I42" s="69" t="s">
        <v>156</v>
      </c>
      <c r="J42" s="72" t="s">
        <v>157</v>
      </c>
      <c r="K42" s="23" t="e" cm="1">
        <f t="array" aca="1" ref="K42" ca="1">SUM(VALUE(TRIM(MID(SUBSTITUTE(J42,",",REPT(" ",100)),(ROW(INDIRECT("1:3"))-1)*100+1,100))))</f>
        <v>#VALUE!</v>
      </c>
      <c r="L42" s="23"/>
      <c r="M42" s="23"/>
      <c r="N42" s="23"/>
      <c r="O42" s="71" t="s">
        <v>150</v>
      </c>
      <c r="P42" s="6"/>
      <c r="Q42" t="s">
        <v>158</v>
      </c>
    </row>
    <row r="43" spans="1:17" ht="48">
      <c r="A43" s="121"/>
      <c r="B43" s="127"/>
      <c r="C43" s="5" t="s">
        <v>88</v>
      </c>
      <c r="D43" s="114" t="s">
        <v>159</v>
      </c>
      <c r="E43" s="6" t="s">
        <v>160</v>
      </c>
      <c r="F43" s="72" t="s">
        <v>161</v>
      </c>
      <c r="G43" s="72" t="s">
        <v>162</v>
      </c>
      <c r="H43" s="76" t="s">
        <v>163</v>
      </c>
      <c r="I43" s="69" t="s">
        <v>164</v>
      </c>
      <c r="J43" s="22" t="s">
        <v>165</v>
      </c>
      <c r="K43" s="23" cm="1">
        <f t="array" aca="1" ref="K43" ca="1">SUM(VALUE(TRIM(MID(SUBSTITUTE(J43,",",REPT(" ",100)),(ROW(INDIRECT("1:3"))-1)*100+1,100))))</f>
        <v>3028</v>
      </c>
      <c r="L43" s="23"/>
      <c r="M43" s="23"/>
      <c r="N43" s="23"/>
      <c r="O43" s="71" t="s">
        <v>150</v>
      </c>
      <c r="P43" s="6"/>
    </row>
    <row r="44" spans="1:17" ht="29.25" customHeight="1">
      <c r="A44" s="121"/>
      <c r="B44" s="127"/>
      <c r="C44" s="125" t="s">
        <v>166</v>
      </c>
      <c r="D44" s="125"/>
      <c r="E44" s="6" t="s">
        <v>167</v>
      </c>
      <c r="F44" s="22">
        <v>0.93899999999999995</v>
      </c>
      <c r="G44" s="22">
        <v>0.79700000000000004</v>
      </c>
      <c r="H44" s="62">
        <v>0.88200000000000001</v>
      </c>
      <c r="I44" s="61">
        <v>5.3</v>
      </c>
      <c r="J44" s="22" t="s">
        <v>168</v>
      </c>
      <c r="K44" s="23" cm="1">
        <f t="array" aca="1" ref="K44" ca="1">SUM(VALUE(TRIM(MID(SUBSTITUTE(J44,",",REPT(" ",100)),(ROW(INDIRECT("1:3"))-1)*100+1,100))))</f>
        <v>3010</v>
      </c>
      <c r="L44" s="23"/>
      <c r="M44" s="23"/>
      <c r="N44" s="23"/>
      <c r="O44" s="71" t="s">
        <v>169</v>
      </c>
      <c r="P44" s="6"/>
    </row>
    <row r="45" spans="1:17" ht="48.75" customHeight="1">
      <c r="A45" s="121"/>
      <c r="B45" s="127"/>
      <c r="C45" s="5" t="s">
        <v>166</v>
      </c>
      <c r="D45" s="114" t="s">
        <v>170</v>
      </c>
      <c r="E45" s="6" t="s">
        <v>167</v>
      </c>
      <c r="F45" s="22" t="s">
        <v>171</v>
      </c>
      <c r="G45" s="22" t="s">
        <v>172</v>
      </c>
      <c r="H45" s="62" t="s">
        <v>173</v>
      </c>
      <c r="I45" s="61" t="s">
        <v>174</v>
      </c>
      <c r="J45" s="22" t="s">
        <v>175</v>
      </c>
      <c r="K45" s="23"/>
      <c r="L45" s="23"/>
      <c r="M45" s="23"/>
      <c r="N45" s="23"/>
      <c r="O45" s="71" t="s">
        <v>169</v>
      </c>
      <c r="P45" s="6"/>
      <c r="Q45" t="s">
        <v>176</v>
      </c>
    </row>
    <row r="46" spans="1:17" ht="42" customHeight="1">
      <c r="A46" s="121"/>
      <c r="B46" s="127"/>
      <c r="C46" s="5" t="s">
        <v>166</v>
      </c>
      <c r="D46" s="114" t="s">
        <v>177</v>
      </c>
      <c r="E46" s="6" t="s">
        <v>167</v>
      </c>
      <c r="F46" s="72" t="s">
        <v>178</v>
      </c>
      <c r="G46" s="72" t="s">
        <v>179</v>
      </c>
      <c r="H46" s="76" t="s">
        <v>180</v>
      </c>
      <c r="I46" s="69" t="s">
        <v>181</v>
      </c>
      <c r="J46" s="22" t="s">
        <v>182</v>
      </c>
      <c r="K46" s="23"/>
      <c r="L46" s="23"/>
      <c r="M46" s="23"/>
      <c r="N46" s="23"/>
      <c r="O46" s="71" t="s">
        <v>169</v>
      </c>
      <c r="P46" s="6"/>
    </row>
    <row r="47" spans="1:17" ht="42" customHeight="1">
      <c r="A47" s="121"/>
      <c r="B47" s="127"/>
      <c r="C47" s="5" t="s">
        <v>166</v>
      </c>
      <c r="D47" s="114" t="s">
        <v>183</v>
      </c>
      <c r="E47" s="6" t="s">
        <v>167</v>
      </c>
      <c r="F47" s="22" t="s">
        <v>184</v>
      </c>
      <c r="G47" s="22" t="s">
        <v>185</v>
      </c>
      <c r="H47" s="62" t="s">
        <v>186</v>
      </c>
      <c r="I47" s="61" t="s">
        <v>187</v>
      </c>
      <c r="J47" s="22" t="s">
        <v>188</v>
      </c>
      <c r="K47" s="23"/>
      <c r="L47" s="23"/>
      <c r="M47" s="23"/>
      <c r="N47" s="23"/>
      <c r="O47" s="71" t="s">
        <v>169</v>
      </c>
      <c r="P47" s="6"/>
    </row>
    <row r="48" spans="1:17">
      <c r="A48" s="121"/>
      <c r="B48" s="21" t="s">
        <v>147</v>
      </c>
      <c r="C48" s="126" t="s">
        <v>92</v>
      </c>
      <c r="D48" s="126"/>
      <c r="E48" s="6" t="s">
        <v>189</v>
      </c>
      <c r="F48" s="22">
        <v>0.92700000000000005</v>
      </c>
      <c r="G48" s="22">
        <v>0.81399999999999995</v>
      </c>
      <c r="H48" s="22">
        <v>0.88200000000000001</v>
      </c>
      <c r="I48" s="61">
        <v>4.9000000000000004</v>
      </c>
      <c r="J48" s="22" t="s">
        <v>190</v>
      </c>
      <c r="K48" s="23" cm="1">
        <f t="array" aca="1" ref="K48" ca="1">SUM(VALUE(TRIM(MID(SUBSTITUTE(J48,",",REPT(" ",100)),(ROW(INDIRECT("1:3"))-1)*100+1,100))))</f>
        <v>3016</v>
      </c>
      <c r="L48" s="23"/>
      <c r="M48" s="23"/>
      <c r="N48" s="23"/>
      <c r="O48" s="71"/>
      <c r="P48" s="6"/>
    </row>
    <row r="49" spans="1:16">
      <c r="A49" s="121"/>
      <c r="B49" s="21" t="s">
        <v>147</v>
      </c>
      <c r="C49" s="126" t="s">
        <v>191</v>
      </c>
      <c r="D49" s="126"/>
      <c r="E49" s="6" t="s">
        <v>192</v>
      </c>
      <c r="F49" s="22">
        <v>0.84099999999999997</v>
      </c>
      <c r="G49" s="22">
        <v>0.74</v>
      </c>
      <c r="H49" s="22">
        <v>0.80100000000000005</v>
      </c>
      <c r="I49" s="22">
        <v>5.3</v>
      </c>
      <c r="J49" s="22" t="s">
        <v>193</v>
      </c>
      <c r="K49" s="23" cm="1">
        <f t="array" aca="1" ref="K49" ca="1">SUM(VALUE(TRIM(MID(SUBSTITUTE(J49,",",REPT(" ",100)),(ROW(INDIRECT("1:3"))-1)*100+1,100))))</f>
        <v>2997</v>
      </c>
      <c r="L49" s="23"/>
      <c r="M49" s="23"/>
      <c r="N49" s="23"/>
      <c r="O49" s="71"/>
      <c r="P49" s="6"/>
    </row>
    <row r="50" spans="1:16" ht="15.95">
      <c r="A50" s="101" t="s">
        <v>194</v>
      </c>
      <c r="B50" s="21" t="s">
        <v>87</v>
      </c>
      <c r="C50" s="125" t="s">
        <v>88</v>
      </c>
      <c r="D50" s="125"/>
      <c r="E50" s="134" t="s">
        <v>195</v>
      </c>
      <c r="F50" s="22">
        <v>0.91500000000000004</v>
      </c>
      <c r="G50" s="22">
        <v>0.78400000000000003</v>
      </c>
      <c r="H50" s="61">
        <v>0.86199999999999999</v>
      </c>
      <c r="I50" s="61">
        <v>6.5</v>
      </c>
      <c r="J50" s="22" t="s">
        <v>196</v>
      </c>
      <c r="K50" s="23"/>
      <c r="L50" s="23"/>
      <c r="M50" s="23"/>
      <c r="N50" s="23"/>
      <c r="O50" s="71"/>
      <c r="P50" s="6" t="s">
        <v>197</v>
      </c>
    </row>
    <row r="51" spans="1:16" ht="15.95">
      <c r="A51" s="101" t="s">
        <v>194</v>
      </c>
      <c r="B51" s="21" t="s">
        <v>87</v>
      </c>
      <c r="C51" s="5" t="s">
        <v>92</v>
      </c>
      <c r="D51" s="113" t="s">
        <v>88</v>
      </c>
      <c r="E51" s="135"/>
      <c r="F51" s="22">
        <v>0.70699999999999996</v>
      </c>
      <c r="G51" s="22">
        <v>0.45900000000000002</v>
      </c>
      <c r="H51" s="22">
        <v>0.60799999999999998</v>
      </c>
      <c r="I51" s="61">
        <v>7.1</v>
      </c>
      <c r="J51" s="22" t="s">
        <v>198</v>
      </c>
      <c r="K51" s="23"/>
      <c r="L51" s="23"/>
      <c r="M51" s="23"/>
      <c r="N51" s="23"/>
      <c r="O51" s="71"/>
      <c r="P51" s="6" t="s">
        <v>199</v>
      </c>
    </row>
    <row r="52" spans="1:16" ht="15.95">
      <c r="A52" s="101" t="s">
        <v>194</v>
      </c>
      <c r="B52" s="21" t="s">
        <v>147</v>
      </c>
      <c r="C52" s="125" t="s">
        <v>88</v>
      </c>
      <c r="D52" s="125"/>
      <c r="E52" s="135"/>
      <c r="F52" s="22">
        <v>0.92700000000000005</v>
      </c>
      <c r="G52" s="22">
        <v>0.754</v>
      </c>
      <c r="H52" s="22">
        <v>0.85799999999999998</v>
      </c>
      <c r="I52" s="61">
        <v>6.9</v>
      </c>
      <c r="J52" s="22" t="s">
        <v>200</v>
      </c>
      <c r="K52" s="23"/>
      <c r="L52" s="23"/>
      <c r="M52" s="23"/>
      <c r="N52" s="23"/>
      <c r="O52" s="71"/>
      <c r="P52" s="6" t="s">
        <v>201</v>
      </c>
    </row>
    <row r="53" spans="1:16" ht="15.95">
      <c r="A53" s="101" t="s">
        <v>194</v>
      </c>
      <c r="B53" s="21" t="s">
        <v>147</v>
      </c>
      <c r="C53" s="5" t="s">
        <v>92</v>
      </c>
      <c r="D53" s="113" t="s">
        <v>88</v>
      </c>
      <c r="E53" s="135"/>
      <c r="F53" s="22">
        <v>0.878</v>
      </c>
      <c r="G53" s="22">
        <v>0.59899999999999998</v>
      </c>
      <c r="H53" s="22">
        <v>0.76600000000000001</v>
      </c>
      <c r="I53" s="61">
        <v>15.4</v>
      </c>
      <c r="J53" s="22" t="s">
        <v>202</v>
      </c>
      <c r="K53" s="23"/>
      <c r="L53" s="23"/>
      <c r="M53" s="23"/>
      <c r="N53" s="23"/>
      <c r="O53" s="71"/>
      <c r="P53" s="6" t="s">
        <v>203</v>
      </c>
    </row>
    <row r="54" spans="1:16" ht="84.75" customHeight="1">
      <c r="A54" s="101" t="s">
        <v>204</v>
      </c>
      <c r="B54" s="21" t="s">
        <v>87</v>
      </c>
      <c r="C54" s="125" t="s">
        <v>205</v>
      </c>
      <c r="D54" s="125"/>
      <c r="E54" s="135"/>
      <c r="F54" s="72" t="s">
        <v>206</v>
      </c>
      <c r="G54" s="72" t="s">
        <v>207</v>
      </c>
      <c r="H54" s="72" t="s">
        <v>208</v>
      </c>
      <c r="I54" s="69" t="s">
        <v>209</v>
      </c>
      <c r="J54" s="104" t="s">
        <v>210</v>
      </c>
      <c r="K54" s="23"/>
      <c r="L54" s="23"/>
      <c r="M54" s="23"/>
      <c r="N54" s="23"/>
      <c r="O54" s="71"/>
      <c r="P54" s="6" t="s">
        <v>211</v>
      </c>
    </row>
    <row r="55" spans="1:16" ht="15.95">
      <c r="A55" s="101" t="s">
        <v>204</v>
      </c>
      <c r="B55" s="21" t="s">
        <v>87</v>
      </c>
      <c r="C55" s="125" t="s">
        <v>88</v>
      </c>
      <c r="D55" s="125"/>
      <c r="E55" s="135"/>
      <c r="F55" s="22">
        <v>0.93899999999999995</v>
      </c>
      <c r="G55" s="22">
        <v>0.76400000000000001</v>
      </c>
      <c r="H55" s="61">
        <v>0.86899999999999999</v>
      </c>
      <c r="I55" s="61">
        <v>6.5</v>
      </c>
      <c r="J55" s="22" t="s">
        <v>212</v>
      </c>
      <c r="K55" s="23"/>
      <c r="L55" s="23"/>
      <c r="M55" s="23"/>
      <c r="N55" s="23"/>
      <c r="O55" s="71"/>
      <c r="P55" s="6" t="s">
        <v>211</v>
      </c>
    </row>
    <row r="56" spans="1:16" ht="15.95">
      <c r="A56" s="101" t="s">
        <v>204</v>
      </c>
      <c r="B56" s="21" t="s">
        <v>87</v>
      </c>
      <c r="C56" s="5" t="s">
        <v>92</v>
      </c>
      <c r="D56" s="113" t="s">
        <v>88</v>
      </c>
      <c r="E56" s="135"/>
      <c r="F56" s="22">
        <v>0.92700000000000005</v>
      </c>
      <c r="G56" s="22">
        <v>0.72099999999999997</v>
      </c>
      <c r="H56" s="22">
        <v>0.82399999999999995</v>
      </c>
      <c r="I56" s="61">
        <v>23.5</v>
      </c>
      <c r="J56" s="22" t="s">
        <v>213</v>
      </c>
      <c r="K56" s="23"/>
      <c r="L56" s="23"/>
      <c r="M56" s="23"/>
      <c r="N56" s="23"/>
      <c r="O56" s="71"/>
      <c r="P56" s="6" t="s">
        <v>214</v>
      </c>
    </row>
    <row r="57" spans="1:16" ht="15.95">
      <c r="A57" s="101" t="s">
        <v>204</v>
      </c>
      <c r="B57" s="21" t="s">
        <v>147</v>
      </c>
      <c r="C57" s="125" t="s">
        <v>88</v>
      </c>
      <c r="D57" s="125"/>
      <c r="E57" s="135"/>
      <c r="F57" s="22">
        <v>0.92700000000000005</v>
      </c>
      <c r="G57" s="22">
        <v>0.73399999999999999</v>
      </c>
      <c r="H57" s="22">
        <v>0.85</v>
      </c>
      <c r="I57" s="61">
        <v>10.6</v>
      </c>
      <c r="J57" s="22" t="s">
        <v>215</v>
      </c>
      <c r="K57" s="23"/>
      <c r="L57" s="23"/>
      <c r="M57" s="23"/>
      <c r="N57" s="23"/>
      <c r="O57" s="71"/>
      <c r="P57" s="6" t="s">
        <v>216</v>
      </c>
    </row>
    <row r="58" spans="1:16" ht="15.95">
      <c r="A58" s="101" t="s">
        <v>204</v>
      </c>
      <c r="B58" s="21" t="s">
        <v>147</v>
      </c>
      <c r="C58" s="5" t="s">
        <v>92</v>
      </c>
      <c r="D58" s="113" t="s">
        <v>88</v>
      </c>
      <c r="E58" s="136"/>
      <c r="F58" s="22">
        <v>0.878</v>
      </c>
      <c r="G58" s="22">
        <v>0.73799999999999999</v>
      </c>
      <c r="H58" s="22">
        <v>0.82199999999999995</v>
      </c>
      <c r="I58" s="61">
        <v>19</v>
      </c>
      <c r="J58" s="22" t="s">
        <v>217</v>
      </c>
      <c r="K58" s="23"/>
      <c r="L58" s="23"/>
      <c r="M58" s="23"/>
      <c r="N58" s="23"/>
      <c r="O58" s="71"/>
      <c r="P58" s="6" t="s">
        <v>218</v>
      </c>
    </row>
    <row r="59" spans="1:16" ht="63.75" customHeight="1">
      <c r="A59" s="101" t="s">
        <v>194</v>
      </c>
      <c r="B59" s="21" t="s">
        <v>87</v>
      </c>
      <c r="C59" s="125" t="s">
        <v>205</v>
      </c>
      <c r="D59" s="125"/>
      <c r="E59" s="134" t="s">
        <v>219</v>
      </c>
      <c r="F59" s="22" t="s">
        <v>220</v>
      </c>
      <c r="G59" s="22" t="s">
        <v>221</v>
      </c>
      <c r="H59" s="22" t="s">
        <v>222</v>
      </c>
      <c r="I59" s="61" t="s">
        <v>223</v>
      </c>
      <c r="J59" s="104" t="s">
        <v>224</v>
      </c>
      <c r="K59" s="23"/>
      <c r="L59" s="23"/>
      <c r="M59" s="23"/>
      <c r="N59" s="23"/>
      <c r="O59" s="71"/>
      <c r="P59" s="6" t="s">
        <v>225</v>
      </c>
    </row>
    <row r="60" spans="1:16" ht="15" customHeight="1">
      <c r="A60" s="101" t="s">
        <v>194</v>
      </c>
      <c r="B60" s="21" t="s">
        <v>87</v>
      </c>
      <c r="C60" s="125" t="s">
        <v>88</v>
      </c>
      <c r="D60" s="125"/>
      <c r="E60" s="135"/>
      <c r="F60" s="22">
        <v>0.86599999999999999</v>
      </c>
      <c r="G60" s="22">
        <v>0.66200000000000003</v>
      </c>
      <c r="H60" s="61">
        <v>0.78400000000000003</v>
      </c>
      <c r="I60" s="61" t="s">
        <v>226</v>
      </c>
      <c r="J60" s="22" t="s">
        <v>227</v>
      </c>
      <c r="K60" s="23"/>
      <c r="L60" s="23"/>
      <c r="M60" s="23"/>
      <c r="N60" s="23"/>
      <c r="O60" s="71"/>
      <c r="P60" s="6" t="s">
        <v>225</v>
      </c>
    </row>
    <row r="61" spans="1:16" ht="15.95">
      <c r="A61" s="101" t="s">
        <v>194</v>
      </c>
      <c r="B61" s="21" t="s">
        <v>87</v>
      </c>
      <c r="C61" s="5" t="s">
        <v>92</v>
      </c>
      <c r="D61" s="113" t="s">
        <v>88</v>
      </c>
      <c r="E61" s="135"/>
      <c r="F61" s="22">
        <v>0.78</v>
      </c>
      <c r="G61" s="22">
        <v>0.60499999999999998</v>
      </c>
      <c r="H61" s="22">
        <v>0.71</v>
      </c>
      <c r="I61" s="61">
        <v>9.6999999999999993</v>
      </c>
      <c r="J61" s="22" t="s">
        <v>228</v>
      </c>
      <c r="K61" s="23"/>
      <c r="L61" s="23"/>
      <c r="M61" s="23"/>
      <c r="N61" s="23"/>
      <c r="O61" s="71"/>
      <c r="P61" s="6" t="s">
        <v>229</v>
      </c>
    </row>
    <row r="62" spans="1:16" ht="15.95">
      <c r="A62" s="101" t="s">
        <v>194</v>
      </c>
      <c r="B62" s="21" t="s">
        <v>147</v>
      </c>
      <c r="C62" s="125" t="s">
        <v>88</v>
      </c>
      <c r="D62" s="125"/>
      <c r="E62" s="135"/>
      <c r="F62" s="22">
        <v>0.82899999999999996</v>
      </c>
      <c r="G62" s="22">
        <v>0.64700000000000002</v>
      </c>
      <c r="H62" s="22">
        <v>0.75700000000000001</v>
      </c>
      <c r="I62" s="61">
        <v>19.7</v>
      </c>
      <c r="J62" s="22" t="s">
        <v>230</v>
      </c>
      <c r="K62" s="23"/>
      <c r="L62" s="23"/>
      <c r="M62" s="23"/>
      <c r="N62" s="23"/>
      <c r="O62" s="71"/>
      <c r="P62" s="6" t="s">
        <v>231</v>
      </c>
    </row>
    <row r="63" spans="1:16" ht="15.95">
      <c r="A63" s="101" t="s">
        <v>194</v>
      </c>
      <c r="B63" s="21" t="s">
        <v>147</v>
      </c>
      <c r="C63" s="5" t="s">
        <v>92</v>
      </c>
      <c r="D63" s="113" t="s">
        <v>88</v>
      </c>
      <c r="E63" s="135"/>
      <c r="F63" s="22">
        <v>0.67100000000000004</v>
      </c>
      <c r="G63" s="22">
        <v>0.55800000000000005</v>
      </c>
      <c r="H63" s="22">
        <v>0.626</v>
      </c>
      <c r="I63" s="61">
        <v>11.1</v>
      </c>
      <c r="J63" s="22" t="s">
        <v>232</v>
      </c>
      <c r="K63" s="23"/>
      <c r="L63" s="23"/>
      <c r="M63" s="23"/>
      <c r="N63" s="23"/>
      <c r="O63" s="71"/>
      <c r="P63" s="6" t="s">
        <v>233</v>
      </c>
    </row>
    <row r="64" spans="1:16" ht="15.95">
      <c r="A64" s="101" t="s">
        <v>204</v>
      </c>
      <c r="B64" s="21" t="s">
        <v>87</v>
      </c>
      <c r="C64" s="125" t="s">
        <v>88</v>
      </c>
      <c r="D64" s="125"/>
      <c r="E64" s="135"/>
      <c r="F64" s="22">
        <v>0.81699999999999995</v>
      </c>
      <c r="G64" s="22">
        <v>0.56899999999999995</v>
      </c>
      <c r="H64" s="22">
        <v>0.71799999999999997</v>
      </c>
      <c r="I64" s="61">
        <v>17.2</v>
      </c>
      <c r="J64" s="22" t="s">
        <v>234</v>
      </c>
      <c r="K64" s="23"/>
      <c r="L64" s="23"/>
      <c r="M64" s="23"/>
      <c r="N64" s="23"/>
      <c r="O64" s="71"/>
      <c r="P64" s="6" t="s">
        <v>235</v>
      </c>
    </row>
    <row r="65" spans="1:16" ht="15.95">
      <c r="A65" s="101" t="s">
        <v>204</v>
      </c>
      <c r="B65" s="21" t="s">
        <v>87</v>
      </c>
      <c r="C65" s="5" t="s">
        <v>92</v>
      </c>
      <c r="D65" s="113" t="s">
        <v>88</v>
      </c>
      <c r="E65" s="135"/>
      <c r="F65" s="22">
        <v>0.878</v>
      </c>
      <c r="G65" s="22">
        <v>0.63800000000000001</v>
      </c>
      <c r="H65" s="22">
        <v>0.78200000000000003</v>
      </c>
      <c r="I65" s="61">
        <v>11</v>
      </c>
      <c r="J65" s="22" t="s">
        <v>236</v>
      </c>
      <c r="K65" s="23"/>
      <c r="L65" s="23"/>
      <c r="M65" s="23"/>
      <c r="N65" s="23"/>
      <c r="O65" s="71"/>
      <c r="P65" s="6" t="s">
        <v>237</v>
      </c>
    </row>
    <row r="66" spans="1:16" ht="15.95">
      <c r="A66" s="101" t="s">
        <v>204</v>
      </c>
      <c r="B66" s="21" t="s">
        <v>147</v>
      </c>
      <c r="C66" s="125" t="s">
        <v>88</v>
      </c>
      <c r="D66" s="125"/>
      <c r="E66" s="135"/>
      <c r="F66" s="22">
        <v>0.85399999999999998</v>
      </c>
      <c r="G66" s="22">
        <v>0.68300000000000005</v>
      </c>
      <c r="H66" s="61">
        <v>0.78500000000000003</v>
      </c>
      <c r="I66" s="61">
        <v>20.399999999999999</v>
      </c>
      <c r="J66" s="22" t="s">
        <v>238</v>
      </c>
      <c r="K66" s="23"/>
      <c r="L66" s="23"/>
      <c r="M66" s="23"/>
      <c r="N66" s="23"/>
      <c r="O66" s="71"/>
      <c r="P66" s="6" t="s">
        <v>239</v>
      </c>
    </row>
    <row r="67" spans="1:16" ht="15.95">
      <c r="A67" s="101" t="s">
        <v>204</v>
      </c>
      <c r="B67" s="21" t="s">
        <v>147</v>
      </c>
      <c r="C67" s="5" t="s">
        <v>92</v>
      </c>
      <c r="D67" s="113" t="s">
        <v>88</v>
      </c>
      <c r="E67" s="136"/>
      <c r="F67" s="22">
        <v>0.82899999999999996</v>
      </c>
      <c r="G67" s="22">
        <v>0.55700000000000005</v>
      </c>
      <c r="H67" s="22">
        <v>0.72</v>
      </c>
      <c r="I67" s="61">
        <v>42.6</v>
      </c>
      <c r="J67" s="22" t="s">
        <v>240</v>
      </c>
      <c r="K67" s="23"/>
      <c r="L67" s="23"/>
      <c r="M67" s="23"/>
      <c r="N67" s="23"/>
      <c r="O67" s="71"/>
      <c r="P67" s="6" t="s">
        <v>241</v>
      </c>
    </row>
    <row r="68" spans="1:16" ht="15.95">
      <c r="A68" s="101" t="s">
        <v>194</v>
      </c>
      <c r="B68" s="21" t="s">
        <v>87</v>
      </c>
      <c r="C68" s="125" t="s">
        <v>88</v>
      </c>
      <c r="D68" s="125"/>
      <c r="E68" s="134" t="s">
        <v>242</v>
      </c>
      <c r="F68" s="22">
        <v>0.80500000000000005</v>
      </c>
      <c r="G68" s="22">
        <v>0.56599999999999995</v>
      </c>
      <c r="H68" s="22">
        <v>0.70899999999999996</v>
      </c>
      <c r="I68" s="61">
        <v>7.4</v>
      </c>
      <c r="J68" s="22" t="s">
        <v>243</v>
      </c>
      <c r="K68" s="23"/>
      <c r="L68" s="23"/>
      <c r="M68" s="23"/>
      <c r="N68" s="23"/>
      <c r="O68" s="71"/>
      <c r="P68" s="6" t="s">
        <v>244</v>
      </c>
    </row>
    <row r="69" spans="1:16" ht="15.95">
      <c r="A69" s="101" t="s">
        <v>194</v>
      </c>
      <c r="B69" s="21" t="s">
        <v>87</v>
      </c>
      <c r="C69" s="5" t="s">
        <v>92</v>
      </c>
      <c r="D69" s="113" t="s">
        <v>88</v>
      </c>
      <c r="E69" s="135"/>
      <c r="F69" s="22">
        <v>0.73199999999999998</v>
      </c>
      <c r="G69" s="22">
        <v>0.61099999999999999</v>
      </c>
      <c r="H69" s="22">
        <v>0.68400000000000005</v>
      </c>
      <c r="I69" s="61">
        <v>14.1</v>
      </c>
      <c r="J69" s="22" t="s">
        <v>245</v>
      </c>
      <c r="K69" s="23"/>
      <c r="L69" s="23"/>
      <c r="M69" s="23"/>
      <c r="N69" s="23"/>
      <c r="O69" s="71"/>
      <c r="P69" s="6" t="s">
        <v>246</v>
      </c>
    </row>
    <row r="70" spans="1:16" ht="15.95">
      <c r="A70" s="101" t="s">
        <v>194</v>
      </c>
      <c r="B70" s="21" t="s">
        <v>147</v>
      </c>
      <c r="C70" s="125" t="s">
        <v>88</v>
      </c>
      <c r="D70" s="125"/>
      <c r="E70" s="135"/>
      <c r="F70" s="22">
        <v>0.85399999999999998</v>
      </c>
      <c r="G70" s="22">
        <v>0.64700000000000002</v>
      </c>
      <c r="H70" s="22">
        <v>0.77100000000000002</v>
      </c>
      <c r="I70" s="61">
        <v>7.4</v>
      </c>
      <c r="J70" s="22" t="s">
        <v>247</v>
      </c>
      <c r="K70" s="23"/>
      <c r="L70" s="23"/>
      <c r="M70" s="23"/>
      <c r="N70" s="23"/>
      <c r="O70" s="71"/>
      <c r="P70" s="6" t="s">
        <v>248</v>
      </c>
    </row>
    <row r="71" spans="1:16" ht="15.95">
      <c r="A71" s="101" t="s">
        <v>194</v>
      </c>
      <c r="B71" s="21" t="s">
        <v>147</v>
      </c>
      <c r="C71" s="5" t="s">
        <v>92</v>
      </c>
      <c r="D71" s="113" t="s">
        <v>88</v>
      </c>
      <c r="E71" s="135"/>
      <c r="F71" s="22">
        <v>0.81699999999999995</v>
      </c>
      <c r="G71" s="22">
        <v>0.59099999999999997</v>
      </c>
      <c r="H71" s="22">
        <v>0.72699999999999998</v>
      </c>
      <c r="I71" s="61">
        <v>6.4</v>
      </c>
      <c r="J71" s="22" t="s">
        <v>249</v>
      </c>
      <c r="K71" s="23"/>
      <c r="L71" s="23"/>
      <c r="M71" s="23"/>
      <c r="N71" s="23"/>
      <c r="O71" s="71"/>
      <c r="P71" s="6" t="s">
        <v>250</v>
      </c>
    </row>
    <row r="72" spans="1:16" ht="15.95">
      <c r="A72" s="101" t="s">
        <v>204</v>
      </c>
      <c r="B72" s="21" t="s">
        <v>87</v>
      </c>
      <c r="C72" s="125" t="s">
        <v>88</v>
      </c>
      <c r="D72" s="125"/>
      <c r="E72" s="135"/>
      <c r="F72" s="22">
        <v>0.85399999999999998</v>
      </c>
      <c r="G72" s="22">
        <v>0.68700000000000006</v>
      </c>
      <c r="H72" s="22">
        <v>0.78700000000000003</v>
      </c>
      <c r="I72" s="61">
        <v>11.5</v>
      </c>
      <c r="J72" s="22" t="s">
        <v>251</v>
      </c>
      <c r="K72" s="23"/>
      <c r="L72" s="23"/>
      <c r="M72" s="23"/>
      <c r="N72" s="23"/>
      <c r="O72" s="71"/>
      <c r="P72" s="6" t="s">
        <v>252</v>
      </c>
    </row>
    <row r="73" spans="1:16" ht="47.25" customHeight="1">
      <c r="A73" s="101" t="s">
        <v>204</v>
      </c>
      <c r="B73" s="21" t="s">
        <v>87</v>
      </c>
      <c r="C73" s="5" t="s">
        <v>92</v>
      </c>
      <c r="D73" s="114" t="s">
        <v>253</v>
      </c>
      <c r="E73" s="135"/>
      <c r="F73" s="72" t="s">
        <v>254</v>
      </c>
      <c r="G73" s="72" t="s">
        <v>255</v>
      </c>
      <c r="H73" s="72" t="s">
        <v>256</v>
      </c>
      <c r="I73" s="69" t="s">
        <v>257</v>
      </c>
      <c r="J73" s="104" t="s">
        <v>258</v>
      </c>
      <c r="K73" s="23"/>
      <c r="L73" s="23"/>
      <c r="M73" s="23"/>
      <c r="N73" s="23"/>
      <c r="O73" s="71"/>
      <c r="P73" s="6" t="s">
        <v>259</v>
      </c>
    </row>
    <row r="74" spans="1:16" ht="15.95">
      <c r="A74" s="101" t="s">
        <v>204</v>
      </c>
      <c r="B74" s="21" t="s">
        <v>87</v>
      </c>
      <c r="C74" s="5" t="s">
        <v>92</v>
      </c>
      <c r="D74" s="113" t="s">
        <v>88</v>
      </c>
      <c r="E74" s="135"/>
      <c r="F74" s="22">
        <v>0.89</v>
      </c>
      <c r="G74" s="22">
        <v>0.67700000000000005</v>
      </c>
      <c r="H74" s="61">
        <v>0.80500000000000005</v>
      </c>
      <c r="I74" s="61">
        <v>14</v>
      </c>
      <c r="J74" s="22" t="s">
        <v>260</v>
      </c>
      <c r="K74" s="23"/>
      <c r="L74" s="23"/>
      <c r="M74" s="23"/>
      <c r="N74" s="23"/>
      <c r="O74" s="71"/>
      <c r="P74" s="6" t="s">
        <v>259</v>
      </c>
    </row>
    <row r="75" spans="1:16" ht="15.95">
      <c r="A75" s="101" t="s">
        <v>204</v>
      </c>
      <c r="B75" s="21" t="s">
        <v>147</v>
      </c>
      <c r="C75" s="125" t="s">
        <v>88</v>
      </c>
      <c r="D75" s="125"/>
      <c r="E75" s="135"/>
      <c r="F75" s="22">
        <v>0.878</v>
      </c>
      <c r="G75" s="22">
        <v>0.66500000000000004</v>
      </c>
      <c r="H75" s="22">
        <v>0.79</v>
      </c>
      <c r="I75" s="61">
        <v>10.5</v>
      </c>
      <c r="J75" s="22" t="s">
        <v>261</v>
      </c>
      <c r="K75" s="23"/>
      <c r="L75" s="23"/>
      <c r="M75" s="23"/>
      <c r="N75" s="23"/>
      <c r="O75" s="71"/>
      <c r="P75" s="6" t="s">
        <v>262</v>
      </c>
    </row>
    <row r="76" spans="1:16" ht="57.75" customHeight="1">
      <c r="A76" s="101" t="s">
        <v>204</v>
      </c>
      <c r="B76" s="21" t="s">
        <v>147</v>
      </c>
      <c r="C76" s="5" t="s">
        <v>92</v>
      </c>
      <c r="D76" s="114" t="s">
        <v>263</v>
      </c>
      <c r="E76" s="135"/>
      <c r="F76" s="72" t="s">
        <v>264</v>
      </c>
      <c r="G76" s="72" t="s">
        <v>265</v>
      </c>
      <c r="H76" s="72" t="s">
        <v>266</v>
      </c>
      <c r="I76" s="69" t="s">
        <v>267</v>
      </c>
      <c r="J76" s="104" t="s">
        <v>268</v>
      </c>
      <c r="K76" s="23"/>
      <c r="L76" s="23"/>
      <c r="M76" s="23"/>
      <c r="N76" s="23"/>
      <c r="O76" s="71"/>
      <c r="P76" s="6" t="s">
        <v>269</v>
      </c>
    </row>
    <row r="77" spans="1:16" ht="15.95">
      <c r="A77" s="101" t="s">
        <v>204</v>
      </c>
      <c r="B77" s="21" t="s">
        <v>147</v>
      </c>
      <c r="C77" s="5" t="s">
        <v>92</v>
      </c>
      <c r="D77" s="113" t="s">
        <v>88</v>
      </c>
      <c r="E77" s="136"/>
      <c r="F77" s="22">
        <v>0.90200000000000002</v>
      </c>
      <c r="G77" s="22">
        <v>0.67700000000000005</v>
      </c>
      <c r="H77" s="61">
        <v>0.81200000000000006</v>
      </c>
      <c r="I77" s="61">
        <v>27.4</v>
      </c>
      <c r="J77" s="22" t="s">
        <v>270</v>
      </c>
      <c r="K77" s="23"/>
      <c r="L77" s="23"/>
      <c r="M77" s="23"/>
      <c r="N77" s="23"/>
      <c r="O77" s="71"/>
      <c r="P77" s="6" t="s">
        <v>269</v>
      </c>
    </row>
    <row r="78" spans="1:16" ht="29.25" customHeight="1">
      <c r="A78" s="121" t="s">
        <v>271</v>
      </c>
      <c r="B78" s="21" t="s">
        <v>272</v>
      </c>
      <c r="C78" s="125" t="s">
        <v>88</v>
      </c>
      <c r="D78" s="125"/>
      <c r="E78" s="6" t="s">
        <v>273</v>
      </c>
      <c r="F78" s="22">
        <v>0.91500000000000004</v>
      </c>
      <c r="G78" s="22">
        <v>0.82699999999999996</v>
      </c>
      <c r="H78" s="62">
        <v>0.88</v>
      </c>
      <c r="I78" s="61">
        <v>11.5</v>
      </c>
      <c r="J78" s="22" t="s">
        <v>274</v>
      </c>
      <c r="K78" s="23" cm="1">
        <f t="array" aca="1" ref="K78" ca="1">SUM(VALUE(TRIM(MID(SUBSTITUTE(J78,",",REPT(" ",100)),(ROW(INDIRECT("1:3"))-1)*100+1,100))))</f>
        <v>12390</v>
      </c>
      <c r="L78" s="23"/>
      <c r="M78" s="23"/>
      <c r="N78" s="23"/>
      <c r="O78" s="71"/>
      <c r="P78" s="6" t="s">
        <v>275</v>
      </c>
    </row>
    <row r="79" spans="1:16">
      <c r="A79" s="121"/>
      <c r="B79" s="21" t="s">
        <v>272</v>
      </c>
      <c r="C79" s="126" t="s">
        <v>92</v>
      </c>
      <c r="D79" s="126"/>
      <c r="E79" s="6" t="s">
        <v>276</v>
      </c>
      <c r="F79" s="22">
        <v>0.92700000000000005</v>
      </c>
      <c r="G79" s="22">
        <v>0.86899999999999999</v>
      </c>
      <c r="H79" s="22">
        <v>0.90400000000000003</v>
      </c>
      <c r="I79" s="22">
        <v>11</v>
      </c>
      <c r="J79" s="22" t="s">
        <v>277</v>
      </c>
      <c r="K79" s="23" cm="1">
        <f t="array" aca="1" ref="K79" ca="1">SUM(VALUE(TRIM(MID(SUBSTITUTE(J79,",",REPT(" ",100)),(ROW(INDIRECT("1:3"))-1)*100+1,100))))</f>
        <v>9747</v>
      </c>
      <c r="L79" s="23"/>
      <c r="M79" s="23"/>
      <c r="N79" s="23"/>
      <c r="O79" s="71"/>
      <c r="P79" s="6" t="s">
        <v>278</v>
      </c>
    </row>
    <row r="80" spans="1:16">
      <c r="A80" s="121"/>
      <c r="B80" s="21" t="s">
        <v>272</v>
      </c>
      <c r="C80" s="126" t="s">
        <v>97</v>
      </c>
      <c r="D80" s="126"/>
      <c r="E80" s="6" t="s">
        <v>279</v>
      </c>
      <c r="F80" s="22">
        <v>0.878</v>
      </c>
      <c r="G80" s="22">
        <v>0.82</v>
      </c>
      <c r="H80" s="22">
        <v>0.85499999999999998</v>
      </c>
      <c r="I80" s="22">
        <v>17.5</v>
      </c>
      <c r="J80" s="22" t="s">
        <v>280</v>
      </c>
      <c r="K80" s="23" cm="1">
        <f t="array" aca="1" ref="K80" ca="1">SUM(VALUE(TRIM(MID(SUBSTITUTE(J80,",",REPT(" ",100)),(ROW(INDIRECT("1:3"))-1)*100+1,100))))</f>
        <v>11548</v>
      </c>
      <c r="L80" s="22"/>
      <c r="M80" s="22"/>
      <c r="N80" s="22"/>
      <c r="O80" s="72"/>
      <c r="P80" s="6" t="s">
        <v>281</v>
      </c>
    </row>
    <row r="81" spans="1:18" ht="15" customHeight="1">
      <c r="A81" s="121" t="s">
        <v>282</v>
      </c>
      <c r="B81" s="21" t="s">
        <v>272</v>
      </c>
      <c r="C81" s="125" t="s">
        <v>88</v>
      </c>
      <c r="D81" s="125"/>
      <c r="E81" s="6" t="s">
        <v>283</v>
      </c>
      <c r="F81" s="22">
        <v>0.93899999999999995</v>
      </c>
      <c r="G81" s="22">
        <v>0.79400000000000004</v>
      </c>
      <c r="H81" s="62">
        <v>0.88100000000000001</v>
      </c>
      <c r="I81" s="61">
        <v>5.4</v>
      </c>
      <c r="J81" s="22" t="s">
        <v>284</v>
      </c>
      <c r="K81" s="23" cm="1">
        <f t="array" aca="1" ref="K81" ca="1">SUM(VALUE(TRIM(MID(SUBSTITUTE(J81,",",REPT(" ",100)),(ROW(INDIRECT("1:3"))-1)*100+1,100))))</f>
        <v>3005</v>
      </c>
      <c r="L81" s="22"/>
      <c r="M81" s="22"/>
      <c r="N81" s="22"/>
      <c r="O81" s="72"/>
      <c r="P81" s="6" t="s">
        <v>285</v>
      </c>
    </row>
    <row r="82" spans="1:18">
      <c r="A82" s="121"/>
      <c r="B82" s="21" t="s">
        <v>286</v>
      </c>
      <c r="C82" s="125" t="s">
        <v>88</v>
      </c>
      <c r="D82" s="125"/>
      <c r="E82" s="6" t="s">
        <v>287</v>
      </c>
      <c r="F82" s="22">
        <v>0.90200000000000002</v>
      </c>
      <c r="G82" s="22">
        <v>0.751</v>
      </c>
      <c r="H82" s="62">
        <v>0.84199999999999997</v>
      </c>
      <c r="I82" s="61">
        <v>5.0999999999999996</v>
      </c>
      <c r="J82" s="22" t="s">
        <v>168</v>
      </c>
      <c r="K82" s="23" cm="1">
        <f t="array" aca="1" ref="K82" ca="1">SUM(VALUE(TRIM(MID(SUBSTITUTE(J82,",",REPT(" ",100)),(ROW(INDIRECT("1:3"))-1)*100+1,100))))</f>
        <v>3010</v>
      </c>
      <c r="L82" s="22"/>
      <c r="M82" s="22"/>
      <c r="N82" s="22"/>
      <c r="O82" s="72"/>
      <c r="P82" s="6"/>
    </row>
    <row r="83" spans="1:18">
      <c r="A83" s="121"/>
      <c r="B83" s="21" t="s">
        <v>272</v>
      </c>
      <c r="C83" s="126" t="s">
        <v>92</v>
      </c>
      <c r="D83" s="126"/>
      <c r="E83" s="6" t="s">
        <v>288</v>
      </c>
      <c r="F83" s="22">
        <v>0.95099999999999996</v>
      </c>
      <c r="G83" s="22">
        <v>0.83699999999999997</v>
      </c>
      <c r="H83" s="22">
        <v>0.90600000000000003</v>
      </c>
      <c r="I83" s="22">
        <v>10.199999999999999</v>
      </c>
      <c r="J83" s="22" t="s">
        <v>289</v>
      </c>
      <c r="K83" s="23" cm="1">
        <f t="array" aca="1" ref="K83" ca="1">SUM(VALUE(TRIM(MID(SUBSTITUTE(J83,",",REPT(" ",100)),(ROW(INDIRECT("1:3"))-1)*100+1,100))))</f>
        <v>9307</v>
      </c>
      <c r="L83" s="22"/>
      <c r="M83" s="22"/>
      <c r="N83" s="22"/>
      <c r="O83" s="72"/>
      <c r="P83" s="6" t="s">
        <v>290</v>
      </c>
    </row>
    <row r="84" spans="1:18">
      <c r="A84" s="121"/>
      <c r="B84" s="21" t="s">
        <v>286</v>
      </c>
      <c r="C84" s="126" t="s">
        <v>92</v>
      </c>
      <c r="D84" s="126"/>
      <c r="E84" s="6" t="s">
        <v>291</v>
      </c>
      <c r="F84" s="22">
        <v>0.91500000000000004</v>
      </c>
      <c r="G84" s="22">
        <v>0.77600000000000002</v>
      </c>
      <c r="H84" s="22">
        <v>0.85899999999999999</v>
      </c>
      <c r="I84" s="22">
        <v>9.5</v>
      </c>
      <c r="J84" s="22" t="s">
        <v>292</v>
      </c>
      <c r="K84" s="23" cm="1">
        <f t="array" aca="1" ref="K84" ca="1">SUM(VALUE(TRIM(MID(SUBSTITUTE(J84,",",REPT(" ",100)),(ROW(INDIRECT("1:3"))-1)*100+1,100))))</f>
        <v>5624</v>
      </c>
      <c r="L84" s="23"/>
      <c r="M84" s="23"/>
      <c r="N84" s="23"/>
      <c r="O84" s="71"/>
      <c r="P84" s="6"/>
    </row>
    <row r="85" spans="1:18">
      <c r="A85" s="121"/>
      <c r="B85" s="21" t="s">
        <v>272</v>
      </c>
      <c r="C85" s="126" t="s">
        <v>97</v>
      </c>
      <c r="D85" s="126"/>
      <c r="E85" s="6" t="s">
        <v>293</v>
      </c>
      <c r="F85" s="22">
        <v>0.878</v>
      </c>
      <c r="G85" s="22">
        <v>0.81699999999999995</v>
      </c>
      <c r="H85" s="22">
        <v>0.85399999999999998</v>
      </c>
      <c r="I85" s="22">
        <v>10.5</v>
      </c>
      <c r="J85" s="22" t="s">
        <v>294</v>
      </c>
      <c r="K85" s="23" cm="1">
        <f t="array" aca="1" ref="K85" ca="1">SUM(VALUE(TRIM(MID(SUBSTITUTE(J85,",",REPT(" ",100)),(ROW(INDIRECT("1:3"))-1)*100+1,100))))</f>
        <v>5545</v>
      </c>
      <c r="L85" s="23"/>
      <c r="M85" s="23"/>
      <c r="N85" s="23"/>
      <c r="O85" s="71"/>
      <c r="P85" s="6" t="s">
        <v>295</v>
      </c>
    </row>
    <row r="86" spans="1:18" ht="29.25" customHeight="1">
      <c r="A86" s="121" t="s">
        <v>296</v>
      </c>
      <c r="B86" s="21" t="s">
        <v>297</v>
      </c>
      <c r="C86" s="132" t="s">
        <v>88</v>
      </c>
      <c r="D86" s="132"/>
      <c r="E86" s="6" t="s">
        <v>298</v>
      </c>
      <c r="F86" s="57">
        <v>0.90200000000000002</v>
      </c>
      <c r="G86" s="56">
        <v>0.77300000000000002</v>
      </c>
      <c r="H86" s="63">
        <v>0.85099999999999998</v>
      </c>
      <c r="I86" s="59">
        <v>5.3</v>
      </c>
      <c r="J86" s="56" t="s">
        <v>299</v>
      </c>
      <c r="K86" s="23" cm="1">
        <f t="array" aca="1" ref="K86" ca="1">SUM(VALUE(TRIM(MID(SUBSTITUTE(J86,",",REPT(" ",100)),(ROW(INDIRECT("1:3"))-1)*100+1,100))))</f>
        <v>3012</v>
      </c>
      <c r="L86" s="23"/>
      <c r="M86" s="23"/>
      <c r="N86" s="23"/>
      <c r="O86" s="71"/>
      <c r="P86" s="21"/>
    </row>
    <row r="87" spans="1:18">
      <c r="A87" s="121"/>
      <c r="B87" s="21" t="s">
        <v>297</v>
      </c>
      <c r="C87" s="127" t="s">
        <v>92</v>
      </c>
      <c r="D87" s="127"/>
      <c r="E87" s="6" t="s">
        <v>300</v>
      </c>
      <c r="F87" s="59">
        <v>0.97599999999999998</v>
      </c>
      <c r="G87" s="56">
        <v>0.85199999999999998</v>
      </c>
      <c r="H87" s="56">
        <v>0.92600000000000005</v>
      </c>
      <c r="I87" s="56">
        <v>10</v>
      </c>
      <c r="J87" s="56" t="s">
        <v>301</v>
      </c>
      <c r="K87" s="23" cm="1">
        <f t="array" aca="1" ref="K87" ca="1">SUM(VALUE(TRIM(MID(SUBSTITUTE(J87,",",REPT(" ",100)),(ROW(INDIRECT("1:3"))-1)*100+1,100))))</f>
        <v>9229</v>
      </c>
      <c r="L87" s="40"/>
      <c r="M87" s="40"/>
      <c r="N87" s="40"/>
      <c r="O87" s="73"/>
      <c r="P87" s="21"/>
    </row>
    <row r="88" spans="1:18">
      <c r="A88" s="121"/>
      <c r="B88" s="21" t="s">
        <v>302</v>
      </c>
      <c r="C88" s="127" t="s">
        <v>92</v>
      </c>
      <c r="D88" s="127"/>
      <c r="E88" s="6" t="s">
        <v>303</v>
      </c>
      <c r="F88" s="56">
        <v>0.92700000000000005</v>
      </c>
      <c r="G88" s="56">
        <v>0.78100000000000003</v>
      </c>
      <c r="H88" s="56">
        <v>0.86799999999999999</v>
      </c>
      <c r="I88" s="56">
        <v>20.3</v>
      </c>
      <c r="J88" s="56" t="s">
        <v>304</v>
      </c>
      <c r="K88" s="23" cm="1">
        <f t="array" aca="1" ref="K88" ca="1">SUM(VALUE(TRIM(MID(SUBSTITUTE(J88,",",REPT(" ",100)),(ROW(INDIRECT("1:3"))-1)*100+1,100))))</f>
        <v>9270</v>
      </c>
      <c r="L88" s="40"/>
      <c r="M88" s="40"/>
      <c r="N88" s="40"/>
      <c r="O88" s="73"/>
      <c r="P88" s="21"/>
    </row>
    <row r="89" spans="1:18">
      <c r="A89" s="121"/>
      <c r="B89" s="21" t="s">
        <v>297</v>
      </c>
      <c r="C89" s="127" t="s">
        <v>97</v>
      </c>
      <c r="D89" s="127"/>
      <c r="E89" s="6" t="s">
        <v>305</v>
      </c>
      <c r="F89" s="56">
        <v>0.85399999999999998</v>
      </c>
      <c r="G89" s="56">
        <v>0.79</v>
      </c>
      <c r="H89" s="56">
        <v>0.82799999999999996</v>
      </c>
      <c r="I89" s="56">
        <v>13.1</v>
      </c>
      <c r="J89" s="56" t="s">
        <v>306</v>
      </c>
      <c r="K89" s="23" cm="1">
        <f t="array" aca="1" ref="K89" ca="1">SUM(VALUE(TRIM(MID(SUBSTITUTE(J89,",",REPT(" ",100)),(ROW(INDIRECT("1:3"))-1)*100+1,100))))</f>
        <v>10726</v>
      </c>
      <c r="L89" s="40"/>
      <c r="M89" s="40"/>
      <c r="N89" s="40"/>
      <c r="O89" s="73"/>
      <c r="P89" s="21"/>
    </row>
    <row r="90" spans="1:18" ht="15.6" customHeight="1">
      <c r="A90" s="121" t="s">
        <v>307</v>
      </c>
      <c r="B90" s="21" t="s">
        <v>308</v>
      </c>
      <c r="C90" s="126" t="s">
        <v>309</v>
      </c>
      <c r="D90" s="126"/>
      <c r="E90" s="5"/>
      <c r="F90" s="30">
        <v>0.86</v>
      </c>
      <c r="G90" s="30">
        <v>0.77</v>
      </c>
      <c r="H90" s="30">
        <v>0.83</v>
      </c>
      <c r="I90" s="30">
        <v>11.1</v>
      </c>
      <c r="J90" s="30" t="s">
        <v>310</v>
      </c>
      <c r="K90" s="23" cm="1">
        <f t="array" aca="1" ref="K90" ca="1">SUM(VALUE(TRIM(MID(SUBSTITUTE(J90,",",REPT(" ",100)),(ROW(INDIRECT("1:3"))-1)*100+1,100))))</f>
        <v>7055</v>
      </c>
      <c r="L90" s="32"/>
      <c r="M90" s="32"/>
      <c r="N90" s="32"/>
      <c r="O90" s="74"/>
      <c r="P90" s="6" t="s">
        <v>311</v>
      </c>
      <c r="Q90" t="s">
        <v>312</v>
      </c>
      <c r="R90" s="2"/>
    </row>
    <row r="91" spans="1:18">
      <c r="A91" s="121"/>
      <c r="B91" s="21" t="s">
        <v>308</v>
      </c>
      <c r="C91" s="5" t="s">
        <v>309</v>
      </c>
      <c r="D91" s="113" t="s">
        <v>313</v>
      </c>
      <c r="E91" s="5"/>
      <c r="F91" s="30">
        <v>0.86499999999999999</v>
      </c>
      <c r="G91" s="30">
        <v>0.78</v>
      </c>
      <c r="H91" s="64">
        <v>0.83499999999999996</v>
      </c>
      <c r="I91" s="60">
        <v>9.6</v>
      </c>
      <c r="J91" s="30" t="s">
        <v>314</v>
      </c>
      <c r="K91" s="23" cm="1">
        <f t="array" aca="1" ref="K91" ca="1">SUM(VALUE(TRIM(MID(SUBSTITUTE(J91,",",REPT(" ",100)),(ROW(INDIRECT("1:3"))-1)*100+1,100))))</f>
        <v>7059</v>
      </c>
      <c r="L91" s="30"/>
      <c r="M91" s="30"/>
      <c r="N91" s="30"/>
      <c r="O91" s="74"/>
      <c r="P91" s="6" t="s">
        <v>311</v>
      </c>
      <c r="Q91" t="s">
        <v>312</v>
      </c>
      <c r="R91" s="2"/>
    </row>
    <row r="92" spans="1:18" ht="15.6" customHeight="1">
      <c r="A92" s="121"/>
      <c r="B92" s="21" t="s">
        <v>315</v>
      </c>
      <c r="C92" s="131" t="s">
        <v>313</v>
      </c>
      <c r="D92" s="131"/>
      <c r="E92" s="75"/>
      <c r="F92" s="30">
        <v>0.89</v>
      </c>
      <c r="G92" s="30">
        <v>0.81</v>
      </c>
      <c r="H92" s="64">
        <v>0.85</v>
      </c>
      <c r="I92" s="30">
        <v>12.4</v>
      </c>
      <c r="J92" s="30" t="s">
        <v>316</v>
      </c>
      <c r="K92" s="23" cm="1">
        <f t="array" aca="1" ref="K92" ca="1">SUM(VALUE(TRIM(MID(SUBSTITUTE(J92,",",REPT(" ",100)),(ROW(INDIRECT("1:3"))-1)*100+1,100))))</f>
        <v>16339</v>
      </c>
      <c r="L92" s="32"/>
      <c r="M92" s="32"/>
      <c r="N92" s="32"/>
      <c r="O92" s="74"/>
      <c r="P92" s="6" t="s">
        <v>317</v>
      </c>
      <c r="Q92" t="s">
        <v>318</v>
      </c>
      <c r="R92" s="2"/>
    </row>
    <row r="93" spans="1:18">
      <c r="A93" s="121"/>
      <c r="B93" s="21" t="s">
        <v>315</v>
      </c>
      <c r="C93" s="5" t="s">
        <v>313</v>
      </c>
      <c r="D93" s="5" t="s">
        <v>319</v>
      </c>
      <c r="E93" s="5"/>
      <c r="F93" s="30">
        <v>0.96</v>
      </c>
      <c r="G93" s="60">
        <v>0.9</v>
      </c>
      <c r="H93" s="60">
        <v>0.94</v>
      </c>
      <c r="I93" s="30">
        <v>12.7</v>
      </c>
      <c r="J93" s="30" t="s">
        <v>320</v>
      </c>
      <c r="K93" s="23" cm="1">
        <f t="array" aca="1" ref="K93" ca="1">SUM(VALUE(TRIM(MID(SUBSTITUTE(J93,",",REPT(" ",100)),(ROW(INDIRECT("1:3"))-1)*100+1,100))))</f>
        <v>11968</v>
      </c>
      <c r="L93" s="32"/>
      <c r="M93" s="32"/>
      <c r="N93" s="32"/>
      <c r="O93" s="74"/>
      <c r="P93" s="6" t="s">
        <v>317</v>
      </c>
      <c r="Q93" t="s">
        <v>321</v>
      </c>
      <c r="R93" s="2"/>
    </row>
    <row r="94" spans="1:18" ht="32.1">
      <c r="A94" s="121"/>
      <c r="B94" s="128" t="s">
        <v>315</v>
      </c>
      <c r="C94" s="5" t="s">
        <v>313</v>
      </c>
      <c r="D94" s="114" t="s">
        <v>322</v>
      </c>
      <c r="E94" s="5"/>
      <c r="F94" s="74" t="s">
        <v>323</v>
      </c>
      <c r="G94" s="77" t="s">
        <v>324</v>
      </c>
      <c r="H94" s="77" t="s">
        <v>325</v>
      </c>
      <c r="I94" s="77" t="s">
        <v>326</v>
      </c>
      <c r="J94" s="30" t="s">
        <v>327</v>
      </c>
      <c r="K94" s="23"/>
      <c r="L94" s="32"/>
      <c r="M94" s="32"/>
      <c r="N94" s="32"/>
      <c r="O94" s="74"/>
      <c r="P94" s="6" t="s">
        <v>317</v>
      </c>
      <c r="Q94" t="s">
        <v>328</v>
      </c>
      <c r="R94" s="2"/>
    </row>
    <row r="95" spans="1:18" ht="32.1">
      <c r="A95" s="121"/>
      <c r="B95" s="129"/>
      <c r="C95" s="5" t="s">
        <v>313</v>
      </c>
      <c r="D95" s="114" t="s">
        <v>329</v>
      </c>
      <c r="E95" s="6"/>
      <c r="F95" s="74" t="s">
        <v>330</v>
      </c>
      <c r="G95" s="77" t="s">
        <v>331</v>
      </c>
      <c r="H95" s="77" t="s">
        <v>332</v>
      </c>
      <c r="I95" s="77" t="s">
        <v>333</v>
      </c>
      <c r="J95" s="23" t="s">
        <v>334</v>
      </c>
      <c r="K95" s="23"/>
      <c r="L95" s="32"/>
      <c r="M95" s="32"/>
      <c r="N95" s="32"/>
      <c r="O95" s="74"/>
      <c r="P95" s="6" t="s">
        <v>317</v>
      </c>
      <c r="R95" s="2"/>
    </row>
    <row r="96" spans="1:18" ht="32.1">
      <c r="A96" s="121"/>
      <c r="B96" s="130"/>
      <c r="C96" s="5" t="s">
        <v>313</v>
      </c>
      <c r="D96" s="114" t="s">
        <v>335</v>
      </c>
      <c r="E96" s="6" t="s">
        <v>305</v>
      </c>
      <c r="F96" s="74" t="s">
        <v>336</v>
      </c>
      <c r="G96" s="77" t="s">
        <v>337</v>
      </c>
      <c r="H96" s="77" t="s">
        <v>338</v>
      </c>
      <c r="I96" s="77" t="s">
        <v>339</v>
      </c>
      <c r="J96" s="23" t="s">
        <v>340</v>
      </c>
      <c r="K96" s="23"/>
      <c r="L96" s="32"/>
      <c r="M96" s="32"/>
      <c r="N96" s="32"/>
      <c r="O96" s="74"/>
      <c r="P96" s="6" t="s">
        <v>317</v>
      </c>
      <c r="R96" s="2"/>
    </row>
    <row r="97" spans="1:18">
      <c r="A97" s="121"/>
      <c r="B97" s="21" t="s">
        <v>315</v>
      </c>
      <c r="C97" s="5" t="s">
        <v>313</v>
      </c>
      <c r="D97" s="5" t="s">
        <v>97</v>
      </c>
      <c r="E97" s="5"/>
      <c r="F97" s="30">
        <v>0.9</v>
      </c>
      <c r="G97" s="30">
        <v>0.87</v>
      </c>
      <c r="H97" s="30">
        <v>0.88900000000000001</v>
      </c>
      <c r="I97" s="30">
        <v>20.5</v>
      </c>
      <c r="J97" s="31" t="s">
        <v>341</v>
      </c>
      <c r="K97" s="23" cm="1">
        <f t="array" aca="1" ref="K97" ca="1">SUM(VALUE(TRIM(MID(SUBSTITUTE(J97,",",REPT(" ",100)),(ROW(INDIRECT("1:3"))-1)*100+1,100))))</f>
        <v>12801</v>
      </c>
      <c r="L97" s="32"/>
      <c r="M97" s="32"/>
      <c r="N97" s="32"/>
      <c r="O97" s="74"/>
      <c r="P97" s="6" t="s">
        <v>317</v>
      </c>
      <c r="R97" s="2"/>
    </row>
    <row r="98" spans="1:18">
      <c r="A98" s="121"/>
      <c r="B98" s="21" t="s">
        <v>315</v>
      </c>
      <c r="C98" s="5" t="s">
        <v>313</v>
      </c>
      <c r="D98" s="5" t="s">
        <v>342</v>
      </c>
      <c r="E98" s="5"/>
      <c r="F98" s="22">
        <v>0.90200000000000002</v>
      </c>
      <c r="G98" s="22">
        <v>0.82199999999999995</v>
      </c>
      <c r="H98" s="22">
        <v>0.87</v>
      </c>
      <c r="I98" s="23">
        <v>18.8</v>
      </c>
      <c r="J98" s="24" t="s">
        <v>343</v>
      </c>
      <c r="K98" s="23" cm="1">
        <f t="array" aca="1" ref="K98" ca="1">SUM(VALUE(TRIM(MID(SUBSTITUTE(J98,",",REPT(" ",100)),(ROW(INDIRECT("1:3"))-1)*100+1,100))))</f>
        <v>12606</v>
      </c>
      <c r="L98" s="23"/>
      <c r="M98" s="23"/>
      <c r="N98" s="23"/>
      <c r="O98" s="71"/>
      <c r="P98" s="6"/>
      <c r="R98" s="2"/>
    </row>
    <row r="99" spans="1:18" ht="29.25" customHeight="1">
      <c r="A99" s="121" t="s">
        <v>344</v>
      </c>
      <c r="B99" s="21" t="s">
        <v>345</v>
      </c>
      <c r="C99" s="16" t="s">
        <v>319</v>
      </c>
      <c r="D99" s="16" t="s">
        <v>319</v>
      </c>
      <c r="E99" s="16"/>
      <c r="F99" s="30">
        <v>0.93899999999999995</v>
      </c>
      <c r="G99" s="30">
        <v>0.82</v>
      </c>
      <c r="H99" s="30">
        <v>0.89300000000000002</v>
      </c>
      <c r="I99" s="30">
        <v>14.8</v>
      </c>
      <c r="J99" s="30" t="s">
        <v>346</v>
      </c>
      <c r="K99" s="23" cm="1">
        <f t="array" aca="1" ref="K99" ca="1">SUM(VALUE(TRIM(MID(SUBSTITUTE(J99,",",REPT(" ",100)),(ROW(INDIRECT("1:3"))-1)*100+1,100))))</f>
        <v>11243</v>
      </c>
      <c r="L99" s="32"/>
      <c r="M99" s="32"/>
      <c r="N99" s="32"/>
      <c r="O99" s="74"/>
      <c r="P99" s="6" t="s">
        <v>347</v>
      </c>
      <c r="R99" s="2"/>
    </row>
    <row r="100" spans="1:18">
      <c r="A100" s="121"/>
      <c r="B100" s="21" t="s">
        <v>345</v>
      </c>
      <c r="C100" s="16" t="s">
        <v>319</v>
      </c>
      <c r="D100" s="113" t="s">
        <v>313</v>
      </c>
      <c r="E100" s="5"/>
      <c r="F100" s="30">
        <v>0.91</v>
      </c>
      <c r="G100" s="30">
        <v>0.73</v>
      </c>
      <c r="H100" s="64">
        <v>0.84</v>
      </c>
      <c r="I100" s="60">
        <v>14.5</v>
      </c>
      <c r="J100" s="30" t="s">
        <v>348</v>
      </c>
      <c r="K100" s="23" cm="1">
        <f t="array" aca="1" ref="K100" ca="1">SUM(VALUE(TRIM(MID(SUBSTITUTE(J100,",",REPT(" ",100)),(ROW(INDIRECT("1:3"))-1)*100+1,100))))</f>
        <v>16561</v>
      </c>
      <c r="L100" s="32"/>
      <c r="M100" s="32"/>
      <c r="N100" s="32"/>
      <c r="O100" s="74"/>
      <c r="P100" s="6" t="s">
        <v>347</v>
      </c>
      <c r="R100" s="2"/>
    </row>
    <row r="101" spans="1:18">
      <c r="A101" s="121"/>
      <c r="B101" s="21" t="s">
        <v>349</v>
      </c>
      <c r="C101" s="16" t="s">
        <v>319</v>
      </c>
      <c r="D101" s="16" t="s">
        <v>319</v>
      </c>
      <c r="E101" s="16"/>
      <c r="F101" s="58">
        <v>0.91</v>
      </c>
      <c r="G101" s="58">
        <v>0.76</v>
      </c>
      <c r="H101" s="58">
        <v>0.85</v>
      </c>
      <c r="I101" s="5">
        <v>6.5</v>
      </c>
      <c r="J101" s="5" t="s">
        <v>350</v>
      </c>
      <c r="K101" s="23" cm="1">
        <f t="array" aca="1" ref="K101" ca="1">SUM(VALUE(TRIM(MID(SUBSTITUTE(J101,",",REPT(" ",100)),(ROW(INDIRECT("1:3"))-1)*100+1,100))))</f>
        <v>4849</v>
      </c>
      <c r="L101" s="5"/>
      <c r="M101" s="5"/>
      <c r="N101" s="5"/>
      <c r="O101" s="6"/>
      <c r="P101" s="6" t="s">
        <v>351</v>
      </c>
      <c r="R101" s="2"/>
    </row>
    <row r="102" spans="1:18">
      <c r="A102" s="121"/>
      <c r="B102" s="21"/>
      <c r="C102" s="1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6"/>
      <c r="P102" s="6"/>
      <c r="R102" s="2"/>
    </row>
    <row r="103" spans="1:18" ht="15.95">
      <c r="A103" s="90" t="s">
        <v>352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2"/>
    </row>
    <row r="104" spans="1:18" ht="15.95">
      <c r="A104" s="46" t="s">
        <v>353</v>
      </c>
      <c r="B104" s="78" t="s">
        <v>354</v>
      </c>
      <c r="C104" s="79" t="s">
        <v>355</v>
      </c>
      <c r="D104" s="79" t="s">
        <v>319</v>
      </c>
      <c r="E104" s="79"/>
      <c r="F104" s="106">
        <v>0.93</v>
      </c>
      <c r="G104" s="79">
        <v>0.85</v>
      </c>
      <c r="H104" s="79">
        <v>0.9</v>
      </c>
      <c r="I104" s="79">
        <v>6</v>
      </c>
      <c r="J104" s="79" t="s">
        <v>356</v>
      </c>
      <c r="K104" s="80">
        <v>3349</v>
      </c>
      <c r="L104" s="80"/>
      <c r="M104" s="80"/>
      <c r="N104" s="80"/>
      <c r="O104" s="81" t="s">
        <v>357</v>
      </c>
      <c r="P104" s="78"/>
      <c r="Q104" s="133" t="s">
        <v>358</v>
      </c>
    </row>
    <row r="105" spans="1:18" ht="15.95">
      <c r="A105" s="46" t="s">
        <v>353</v>
      </c>
      <c r="B105" s="78" t="s">
        <v>354</v>
      </c>
      <c r="C105" s="79" t="s">
        <v>355</v>
      </c>
      <c r="D105" s="105" t="s">
        <v>359</v>
      </c>
      <c r="E105" s="79"/>
      <c r="F105" s="106">
        <v>0.9</v>
      </c>
      <c r="G105" s="79">
        <v>0.8</v>
      </c>
      <c r="H105" s="79">
        <v>0.86</v>
      </c>
      <c r="I105" s="105">
        <v>6.3</v>
      </c>
      <c r="J105" s="79" t="s">
        <v>360</v>
      </c>
      <c r="K105" s="80">
        <v>3827</v>
      </c>
      <c r="L105" s="80"/>
      <c r="M105" s="80"/>
      <c r="N105" s="80"/>
      <c r="O105" s="89" t="s">
        <v>357</v>
      </c>
      <c r="P105" s="78"/>
      <c r="Q105" s="133"/>
    </row>
    <row r="106" spans="1:18" ht="15.95">
      <c r="A106" s="46" t="s">
        <v>361</v>
      </c>
      <c r="B106" s="78" t="s">
        <v>362</v>
      </c>
      <c r="C106" s="79" t="s">
        <v>355</v>
      </c>
      <c r="D106" s="79" t="s">
        <v>319</v>
      </c>
      <c r="E106" s="79"/>
      <c r="F106" s="106">
        <v>0.94</v>
      </c>
      <c r="G106" s="79">
        <v>0.88</v>
      </c>
      <c r="H106" s="79">
        <v>0.91</v>
      </c>
      <c r="I106" s="79">
        <v>6.5</v>
      </c>
      <c r="J106" s="79" t="s">
        <v>363</v>
      </c>
      <c r="K106" s="80">
        <v>3163</v>
      </c>
      <c r="L106" s="80"/>
      <c r="M106" s="80"/>
      <c r="N106" s="80"/>
      <c r="O106" s="78" t="s">
        <v>364</v>
      </c>
      <c r="P106" s="78"/>
      <c r="Q106" s="133" t="s">
        <v>365</v>
      </c>
    </row>
    <row r="107" spans="1:18" ht="15.95">
      <c r="A107" s="46" t="s">
        <v>361</v>
      </c>
      <c r="B107" s="78" t="s">
        <v>362</v>
      </c>
      <c r="C107" s="79" t="s">
        <v>355</v>
      </c>
      <c r="D107" s="105" t="s">
        <v>313</v>
      </c>
      <c r="E107" s="79"/>
      <c r="F107" s="106">
        <v>0.92</v>
      </c>
      <c r="G107" s="79">
        <v>0.85</v>
      </c>
      <c r="H107" s="79">
        <v>0.89</v>
      </c>
      <c r="I107" s="105">
        <v>5.4</v>
      </c>
      <c r="J107" s="79" t="s">
        <v>366</v>
      </c>
      <c r="K107" s="80">
        <v>3644</v>
      </c>
      <c r="L107" s="80"/>
      <c r="M107" s="80"/>
      <c r="N107" s="80"/>
      <c r="O107" s="78" t="s">
        <v>364</v>
      </c>
      <c r="P107" s="78"/>
      <c r="Q107" s="133"/>
    </row>
    <row r="108" spans="1:18" ht="15.95">
      <c r="A108" s="46" t="s">
        <v>361</v>
      </c>
      <c r="B108" s="78" t="s">
        <v>367</v>
      </c>
      <c r="C108" s="79" t="s">
        <v>368</v>
      </c>
      <c r="D108" s="79" t="s">
        <v>319</v>
      </c>
      <c r="E108" s="79"/>
      <c r="F108" s="106">
        <v>0.93</v>
      </c>
      <c r="G108" s="79">
        <v>0.83</v>
      </c>
      <c r="H108" s="79">
        <v>0.89</v>
      </c>
      <c r="I108" s="79">
        <v>5.6</v>
      </c>
      <c r="J108" s="79" t="s">
        <v>369</v>
      </c>
      <c r="K108" s="80">
        <v>3197</v>
      </c>
      <c r="L108" s="80"/>
      <c r="M108" s="80"/>
      <c r="N108" s="80"/>
      <c r="O108" s="78" t="s">
        <v>370</v>
      </c>
      <c r="P108" s="78"/>
      <c r="Q108" s="133" t="s">
        <v>371</v>
      </c>
    </row>
    <row r="109" spans="1:18" ht="15.95">
      <c r="A109" s="46" t="s">
        <v>361</v>
      </c>
      <c r="B109" s="78" t="s">
        <v>367</v>
      </c>
      <c r="C109" s="79" t="s">
        <v>368</v>
      </c>
      <c r="D109" s="105" t="s">
        <v>313</v>
      </c>
      <c r="E109" s="79"/>
      <c r="F109" s="79">
        <v>0.88</v>
      </c>
      <c r="G109" s="79">
        <v>0.81</v>
      </c>
      <c r="H109" s="79">
        <v>0.85</v>
      </c>
      <c r="I109" s="105">
        <v>6</v>
      </c>
      <c r="J109" s="79" t="s">
        <v>372</v>
      </c>
      <c r="K109" s="80">
        <v>3673</v>
      </c>
      <c r="L109" s="80"/>
      <c r="M109" s="80"/>
      <c r="N109" s="80"/>
      <c r="O109" s="78" t="s">
        <v>370</v>
      </c>
      <c r="P109" s="78"/>
      <c r="Q109" s="133"/>
    </row>
    <row r="110" spans="1:18" ht="15.95">
      <c r="A110" s="46" t="s">
        <v>361</v>
      </c>
      <c r="B110" s="78" t="s">
        <v>373</v>
      </c>
      <c r="C110" s="79" t="s">
        <v>374</v>
      </c>
      <c r="D110" s="105" t="s">
        <v>313</v>
      </c>
      <c r="E110" s="79"/>
      <c r="F110" s="79">
        <v>0.87</v>
      </c>
      <c r="G110" s="79">
        <v>0.81</v>
      </c>
      <c r="H110" s="79">
        <v>0.85</v>
      </c>
      <c r="I110" s="105">
        <v>6.6</v>
      </c>
      <c r="J110" s="79" t="s">
        <v>375</v>
      </c>
      <c r="K110" s="80">
        <v>3732</v>
      </c>
      <c r="L110" s="80"/>
      <c r="M110" s="80"/>
      <c r="N110" s="80"/>
      <c r="O110" s="78" t="s">
        <v>376</v>
      </c>
      <c r="P110" s="78"/>
      <c r="Q110" t="s">
        <v>377</v>
      </c>
    </row>
    <row r="111" spans="1:18">
      <c r="A111" s="46"/>
      <c r="B111" s="78"/>
      <c r="C111" s="79"/>
      <c r="D111" s="79"/>
      <c r="E111" s="79"/>
      <c r="F111" s="79"/>
      <c r="G111" s="79"/>
      <c r="H111" s="79"/>
      <c r="I111" s="79"/>
      <c r="J111" s="79"/>
      <c r="K111" s="80"/>
      <c r="L111" s="80"/>
      <c r="M111" s="80"/>
      <c r="N111" s="80"/>
      <c r="O111" s="78"/>
      <c r="P111" s="78"/>
    </row>
    <row r="112" spans="1:18" ht="15.95">
      <c r="A112" s="46" t="s">
        <v>378</v>
      </c>
      <c r="B112" s="78"/>
      <c r="C112" s="79"/>
      <c r="D112" s="79"/>
      <c r="E112" s="79"/>
      <c r="F112" s="79"/>
      <c r="G112" s="79"/>
      <c r="H112" s="79"/>
      <c r="I112" s="79"/>
      <c r="J112" s="79"/>
      <c r="K112" s="80"/>
      <c r="L112" s="80"/>
      <c r="M112" s="80"/>
      <c r="N112" s="80"/>
      <c r="O112" s="78"/>
      <c r="P112" s="78"/>
    </row>
    <row r="113" spans="1:16" ht="15.95">
      <c r="A113" s="46" t="s">
        <v>361</v>
      </c>
      <c r="B113" s="78" t="s">
        <v>367</v>
      </c>
      <c r="C113" s="79" t="s">
        <v>374</v>
      </c>
      <c r="D113" s="105" t="s">
        <v>313</v>
      </c>
      <c r="E113" s="79"/>
      <c r="F113" s="112">
        <v>0.94</v>
      </c>
      <c r="G113" s="79">
        <v>0.83</v>
      </c>
      <c r="H113" s="79">
        <v>0.9</v>
      </c>
      <c r="I113" s="105">
        <v>6.9</v>
      </c>
      <c r="J113" s="79" t="s">
        <v>379</v>
      </c>
      <c r="K113" s="80">
        <v>3482</v>
      </c>
      <c r="L113" s="80"/>
      <c r="M113" s="80"/>
      <c r="N113" s="80"/>
      <c r="O113" s="78" t="s">
        <v>380</v>
      </c>
      <c r="P113" s="78" t="s">
        <v>381</v>
      </c>
    </row>
    <row r="114" spans="1:16" ht="15.95">
      <c r="A114" s="46" t="s">
        <v>361</v>
      </c>
      <c r="B114" s="78" t="s">
        <v>367</v>
      </c>
      <c r="C114" s="79" t="s">
        <v>374</v>
      </c>
      <c r="D114" s="105" t="s">
        <v>313</v>
      </c>
      <c r="E114" s="79"/>
      <c r="F114" s="79">
        <v>0.74399999999999999</v>
      </c>
      <c r="G114" s="79">
        <v>0.71299999999999997</v>
      </c>
      <c r="H114" s="102">
        <v>0.73199999999999998</v>
      </c>
      <c r="I114" s="105">
        <v>6.9</v>
      </c>
      <c r="J114" s="79" t="s">
        <v>382</v>
      </c>
      <c r="K114" s="80">
        <v>3854</v>
      </c>
      <c r="L114" s="80"/>
      <c r="M114" s="80"/>
      <c r="N114" s="80"/>
      <c r="O114" s="78" t="s">
        <v>383</v>
      </c>
      <c r="P114" s="78" t="s">
        <v>384</v>
      </c>
    </row>
    <row r="115" spans="1:16" ht="15.95">
      <c r="A115" s="46" t="s">
        <v>361</v>
      </c>
      <c r="B115" s="78" t="s">
        <v>367</v>
      </c>
      <c r="C115" s="79" t="s">
        <v>374</v>
      </c>
      <c r="D115" s="105" t="s">
        <v>313</v>
      </c>
      <c r="E115" s="79"/>
      <c r="F115" s="112">
        <v>0.91500000000000004</v>
      </c>
      <c r="G115" s="79">
        <v>0.79500000000000004</v>
      </c>
      <c r="H115" s="79">
        <v>0.86699999999999999</v>
      </c>
      <c r="I115" s="105">
        <v>9.4</v>
      </c>
      <c r="J115" s="79" t="s">
        <v>385</v>
      </c>
      <c r="K115" s="80">
        <v>5321</v>
      </c>
      <c r="L115" s="80"/>
      <c r="M115" s="80"/>
      <c r="N115" s="80"/>
      <c r="O115" s="78" t="s">
        <v>386</v>
      </c>
      <c r="P115" s="78" t="s">
        <v>387</v>
      </c>
    </row>
    <row r="116" spans="1:16">
      <c r="A116" s="46"/>
      <c r="B116" s="78"/>
      <c r="C116" s="79"/>
      <c r="D116" s="79"/>
      <c r="E116" s="79"/>
      <c r="F116" s="79"/>
      <c r="G116" s="79"/>
      <c r="H116" s="79"/>
      <c r="I116" s="79"/>
      <c r="J116" s="79"/>
      <c r="K116" s="80"/>
      <c r="L116" s="80"/>
      <c r="M116" s="80"/>
      <c r="N116" s="80"/>
      <c r="O116" s="78"/>
      <c r="P116" s="78" t="s">
        <v>388</v>
      </c>
    </row>
    <row r="117" spans="1:16">
      <c r="A117" s="46"/>
      <c r="B117" s="78"/>
      <c r="C117" s="79"/>
      <c r="D117" s="79"/>
      <c r="E117" s="79"/>
      <c r="F117" s="79"/>
      <c r="G117" s="79"/>
      <c r="H117" s="79"/>
      <c r="I117" s="79"/>
      <c r="J117" s="79"/>
      <c r="K117" s="80"/>
      <c r="L117" s="80"/>
      <c r="M117" s="80"/>
      <c r="N117" s="80"/>
      <c r="O117" s="78"/>
      <c r="P117" s="78"/>
    </row>
    <row r="118" spans="1:16" ht="32.1">
      <c r="A118" s="46" t="s">
        <v>389</v>
      </c>
      <c r="B118" s="78"/>
      <c r="C118" s="79"/>
      <c r="D118" s="79"/>
      <c r="E118" s="79"/>
      <c r="F118" s="79"/>
      <c r="G118" s="79"/>
      <c r="H118" s="79"/>
      <c r="I118" s="79"/>
      <c r="J118" s="79"/>
      <c r="K118" s="80"/>
      <c r="L118" s="80"/>
      <c r="M118" s="80"/>
      <c r="N118" s="80"/>
      <c r="O118" s="78"/>
      <c r="P118" s="78"/>
    </row>
    <row r="119" spans="1:16" ht="15.95">
      <c r="A119" s="46" t="s">
        <v>390</v>
      </c>
      <c r="B119" s="78" t="s">
        <v>391</v>
      </c>
      <c r="C119" s="79"/>
      <c r="D119" s="105" t="s">
        <v>313</v>
      </c>
      <c r="E119" s="79"/>
      <c r="F119" s="112">
        <v>0.95099999999999996</v>
      </c>
      <c r="G119" s="79">
        <v>0.874</v>
      </c>
      <c r="H119" s="79">
        <v>0.92</v>
      </c>
      <c r="I119" s="105">
        <v>11.8</v>
      </c>
      <c r="J119" s="79" t="s">
        <v>392</v>
      </c>
      <c r="K119" s="80">
        <v>17073</v>
      </c>
      <c r="L119" s="80"/>
      <c r="M119" s="80"/>
      <c r="N119" s="80"/>
      <c r="O119" s="78" t="s">
        <v>393</v>
      </c>
      <c r="P119" s="78"/>
    </row>
    <row r="120" spans="1:16">
      <c r="A120" s="46"/>
      <c r="B120" s="78" t="s">
        <v>394</v>
      </c>
      <c r="C120" s="79"/>
      <c r="D120" s="105" t="s">
        <v>313</v>
      </c>
      <c r="E120" s="79"/>
      <c r="F120" s="112">
        <v>0.96299999999999997</v>
      </c>
      <c r="G120" s="79">
        <v>0.90500000000000003</v>
      </c>
      <c r="H120" s="79">
        <v>0.94</v>
      </c>
      <c r="I120" s="105">
        <v>9</v>
      </c>
      <c r="J120" s="79" t="s">
        <v>395</v>
      </c>
      <c r="K120" s="80">
        <v>11477</v>
      </c>
      <c r="L120" s="80"/>
      <c r="M120" s="80"/>
      <c r="N120" s="80"/>
      <c r="O120" s="78" t="s">
        <v>396</v>
      </c>
      <c r="P120" s="78"/>
    </row>
    <row r="121" spans="1:16" ht="15.95">
      <c r="A121" s="46" t="s">
        <v>397</v>
      </c>
      <c r="B121" s="78" t="s">
        <v>394</v>
      </c>
      <c r="C121" s="79"/>
      <c r="D121" s="105" t="s">
        <v>313</v>
      </c>
      <c r="E121" s="79"/>
      <c r="F121" s="115">
        <v>0.92</v>
      </c>
      <c r="G121" s="115">
        <v>0.81799999999999995</v>
      </c>
      <c r="H121" s="115">
        <v>0.88300000000000001</v>
      </c>
      <c r="I121" s="115">
        <v>10.199999999999999</v>
      </c>
      <c r="J121" s="115" t="s">
        <v>398</v>
      </c>
      <c r="K121" s="115">
        <v>10757</v>
      </c>
      <c r="L121" s="80"/>
      <c r="M121" s="80"/>
      <c r="N121" s="80"/>
      <c r="O121" s="6" t="s">
        <v>399</v>
      </c>
      <c r="P121" s="78"/>
    </row>
    <row r="122" spans="1:16">
      <c r="A122" s="46"/>
      <c r="B122" s="78" t="s">
        <v>400</v>
      </c>
      <c r="C122" s="79"/>
      <c r="D122" s="105" t="s">
        <v>313</v>
      </c>
      <c r="E122" s="79"/>
      <c r="F122" s="112">
        <v>0.91500000000000004</v>
      </c>
      <c r="G122" s="79">
        <v>0.86</v>
      </c>
      <c r="H122" s="79">
        <v>0.89300000000000002</v>
      </c>
      <c r="I122" s="105">
        <v>9.1</v>
      </c>
      <c r="J122" s="79" t="s">
        <v>401</v>
      </c>
      <c r="K122" s="80">
        <v>11481</v>
      </c>
      <c r="L122" s="80"/>
      <c r="M122" s="80"/>
      <c r="N122" s="80"/>
      <c r="O122" s="78" t="s">
        <v>402</v>
      </c>
      <c r="P122" s="78"/>
    </row>
    <row r="123" spans="1:16">
      <c r="A123" s="46"/>
      <c r="B123" s="78"/>
      <c r="C123" s="79"/>
      <c r="D123" s="79"/>
      <c r="E123" s="79"/>
      <c r="F123" s="79"/>
      <c r="G123" s="79"/>
      <c r="H123" s="79"/>
      <c r="I123" s="79"/>
      <c r="J123" s="79"/>
      <c r="K123" s="80"/>
      <c r="L123" s="80"/>
      <c r="M123" s="80"/>
      <c r="N123" s="80"/>
      <c r="O123" s="78"/>
      <c r="P123" s="78"/>
    </row>
    <row r="124" spans="1:16">
      <c r="A124" s="46"/>
      <c r="B124" s="78"/>
      <c r="C124" s="79"/>
      <c r="D124" s="79"/>
      <c r="E124" s="79"/>
      <c r="F124" s="79"/>
      <c r="G124" s="79"/>
      <c r="H124" s="79"/>
      <c r="I124" s="79"/>
      <c r="J124" s="79"/>
      <c r="K124" s="80"/>
      <c r="L124" s="80"/>
      <c r="M124" s="80"/>
      <c r="N124" s="80"/>
      <c r="O124" s="78"/>
      <c r="P124" s="78"/>
    </row>
    <row r="125" spans="1:16">
      <c r="A125" s="44"/>
      <c r="B125" s="45" t="s">
        <v>403</v>
      </c>
      <c r="K125" s="43"/>
      <c r="L125" s="43"/>
      <c r="M125" s="43"/>
      <c r="N125" s="43"/>
    </row>
    <row r="126" spans="1:16">
      <c r="A126" s="46"/>
      <c r="B126" s="45" t="s">
        <v>404</v>
      </c>
      <c r="C126" s="47" t="s">
        <v>405</v>
      </c>
      <c r="K126" s="43"/>
      <c r="L126" s="43"/>
      <c r="M126" s="43"/>
      <c r="N126" s="43"/>
    </row>
    <row r="127" spans="1:16">
      <c r="B127" s="43"/>
      <c r="K127" s="43"/>
      <c r="L127" s="43"/>
      <c r="M127" s="43"/>
      <c r="N127" s="43"/>
    </row>
    <row r="128" spans="1:16" ht="15.95">
      <c r="A128" s="48" t="s">
        <v>406</v>
      </c>
      <c r="B128" s="49"/>
      <c r="K128" s="43"/>
      <c r="L128" s="43"/>
      <c r="M128" s="43"/>
      <c r="N128" s="43"/>
    </row>
    <row r="129" spans="1:14" ht="15.95">
      <c r="A129" s="50" t="s">
        <v>407</v>
      </c>
      <c r="B129" s="51" t="s">
        <v>408</v>
      </c>
      <c r="K129" s="43"/>
      <c r="L129" s="43"/>
      <c r="M129" s="43"/>
      <c r="N129" s="43"/>
    </row>
    <row r="130" spans="1:14" ht="15.95">
      <c r="A130" s="50" t="s">
        <v>409</v>
      </c>
      <c r="B130" s="51" t="s">
        <v>410</v>
      </c>
      <c r="K130" s="43"/>
      <c r="L130" s="43"/>
      <c r="M130" s="43"/>
      <c r="N130" s="43"/>
    </row>
    <row r="131" spans="1:14" ht="15.95">
      <c r="A131" s="50" t="s">
        <v>411</v>
      </c>
      <c r="B131" s="51" t="s">
        <v>412</v>
      </c>
      <c r="K131" s="43"/>
      <c r="L131" s="43"/>
      <c r="M131" s="43"/>
      <c r="N131" s="43"/>
    </row>
    <row r="132" spans="1:14" ht="15.95">
      <c r="A132" s="50" t="s">
        <v>413</v>
      </c>
      <c r="B132" s="51" t="s">
        <v>414</v>
      </c>
      <c r="K132" s="43"/>
      <c r="L132" s="43"/>
      <c r="M132" s="43"/>
      <c r="N132" s="43"/>
    </row>
    <row r="133" spans="1:14">
      <c r="A133" s="50"/>
      <c r="C133" s="52"/>
      <c r="K133" s="43"/>
      <c r="L133" s="43"/>
      <c r="M133" s="43"/>
      <c r="N133" s="43"/>
    </row>
    <row r="134" spans="1:14">
      <c r="A134" s="45" t="s">
        <v>415</v>
      </c>
      <c r="K134" s="43"/>
      <c r="L134" s="43"/>
      <c r="M134" s="43"/>
      <c r="N134" s="43"/>
    </row>
    <row r="135" spans="1:14">
      <c r="K135" s="43"/>
      <c r="L135" s="43"/>
      <c r="M135" s="43"/>
      <c r="N135" s="43"/>
    </row>
    <row r="136" spans="1:14">
      <c r="K136" s="43"/>
      <c r="L136" s="43"/>
      <c r="M136" s="43"/>
      <c r="N136" s="43"/>
    </row>
    <row r="137" spans="1:14">
      <c r="K137" s="43"/>
      <c r="L137" s="43"/>
      <c r="M137" s="43"/>
      <c r="N137" s="43"/>
    </row>
    <row r="138" spans="1:14">
      <c r="K138" s="43"/>
      <c r="L138" s="43"/>
      <c r="M138" s="43"/>
      <c r="N138" s="43"/>
    </row>
    <row r="139" spans="1:14">
      <c r="K139" s="43"/>
      <c r="L139" s="43"/>
      <c r="M139" s="43"/>
      <c r="N139" s="43"/>
    </row>
    <row r="140" spans="1:14">
      <c r="K140" s="43"/>
      <c r="L140" s="43"/>
      <c r="M140" s="43"/>
      <c r="N140" s="43"/>
    </row>
    <row r="141" spans="1:14">
      <c r="K141" s="43"/>
      <c r="L141" s="43"/>
      <c r="M141" s="43"/>
      <c r="N141" s="43"/>
    </row>
    <row r="142" spans="1:14">
      <c r="K142" s="43"/>
      <c r="L142" s="43"/>
      <c r="M142" s="43"/>
      <c r="N142" s="43"/>
    </row>
    <row r="143" spans="1:14">
      <c r="K143" s="43"/>
      <c r="L143" s="43"/>
      <c r="M143" s="43"/>
      <c r="N143" s="43"/>
    </row>
    <row r="144" spans="1:14">
      <c r="K144" s="43"/>
      <c r="L144" s="43"/>
      <c r="M144" s="43"/>
      <c r="N144" s="43"/>
    </row>
    <row r="145" spans="11:14">
      <c r="K145" s="43"/>
      <c r="L145" s="43"/>
      <c r="M145" s="43"/>
      <c r="N145" s="43"/>
    </row>
    <row r="146" spans="11:14">
      <c r="K146" s="43"/>
      <c r="L146" s="43"/>
      <c r="M146" s="43"/>
      <c r="N146" s="43"/>
    </row>
    <row r="147" spans="11:14">
      <c r="K147" s="43"/>
      <c r="L147" s="43"/>
      <c r="M147" s="43"/>
      <c r="N147" s="43"/>
    </row>
    <row r="148" spans="11:14">
      <c r="K148" s="43"/>
      <c r="L148" s="43"/>
      <c r="M148" s="43"/>
      <c r="N148" s="43"/>
    </row>
    <row r="149" spans="11:14">
      <c r="K149" s="43"/>
      <c r="L149" s="43"/>
      <c r="M149" s="43"/>
      <c r="N149" s="43"/>
    </row>
    <row r="150" spans="11:14">
      <c r="K150" s="43"/>
      <c r="L150" s="43"/>
      <c r="M150" s="43"/>
      <c r="N150" s="43"/>
    </row>
    <row r="151" spans="11:14">
      <c r="K151" s="43"/>
      <c r="L151" s="43"/>
      <c r="M151" s="43"/>
      <c r="N151" s="43"/>
    </row>
    <row r="152" spans="11:14">
      <c r="K152" s="43"/>
      <c r="L152" s="43"/>
      <c r="M152" s="43"/>
      <c r="N152" s="43"/>
    </row>
    <row r="153" spans="11:14">
      <c r="K153" s="43"/>
      <c r="L153" s="43"/>
      <c r="M153" s="43"/>
      <c r="N153" s="43"/>
    </row>
    <row r="154" spans="11:14">
      <c r="K154" s="43"/>
      <c r="L154" s="43"/>
      <c r="M154" s="43"/>
      <c r="N154" s="43"/>
    </row>
    <row r="155" spans="11:14">
      <c r="K155" s="43"/>
      <c r="L155" s="43"/>
      <c r="M155" s="43"/>
      <c r="N155" s="43"/>
    </row>
    <row r="156" spans="11:14">
      <c r="K156" s="43"/>
      <c r="L156" s="43"/>
      <c r="M156" s="43"/>
      <c r="N156" s="43"/>
    </row>
    <row r="157" spans="11:14">
      <c r="K157" s="43"/>
      <c r="L157" s="43"/>
      <c r="M157" s="43"/>
      <c r="N157" s="43"/>
    </row>
    <row r="158" spans="11:14">
      <c r="K158" s="43"/>
      <c r="L158" s="43"/>
      <c r="M158" s="43"/>
      <c r="N158" s="43"/>
    </row>
    <row r="159" spans="11:14">
      <c r="K159" s="43"/>
      <c r="L159" s="43"/>
      <c r="M159" s="43"/>
      <c r="N159" s="43"/>
    </row>
    <row r="160" spans="11:14">
      <c r="K160" s="43"/>
      <c r="L160" s="43"/>
      <c r="M160" s="43"/>
      <c r="N160" s="43"/>
    </row>
    <row r="161" spans="11:14">
      <c r="K161" s="43"/>
      <c r="L161" s="43"/>
      <c r="M161" s="43"/>
      <c r="N161" s="43"/>
    </row>
    <row r="162" spans="11:14">
      <c r="K162" s="43"/>
      <c r="L162" s="43"/>
      <c r="M162" s="43"/>
      <c r="N162" s="43"/>
    </row>
    <row r="163" spans="11:14">
      <c r="K163" s="43"/>
      <c r="L163" s="43"/>
      <c r="M163" s="43"/>
      <c r="N163" s="43"/>
    </row>
    <row r="164" spans="11:14">
      <c r="K164" s="43"/>
      <c r="L164" s="43"/>
      <c r="M164" s="43"/>
      <c r="N164" s="43"/>
    </row>
    <row r="165" spans="11:14">
      <c r="K165" s="43"/>
      <c r="L165" s="43"/>
      <c r="M165" s="43"/>
      <c r="N165" s="43"/>
    </row>
    <row r="166" spans="11:14">
      <c r="K166" s="43"/>
      <c r="L166" s="43"/>
      <c r="M166" s="43"/>
      <c r="N166" s="43"/>
    </row>
    <row r="167" spans="11:14">
      <c r="K167" s="43"/>
      <c r="L167" s="43"/>
      <c r="M167" s="43"/>
      <c r="N167" s="43"/>
    </row>
    <row r="168" spans="11:14">
      <c r="K168" s="43"/>
      <c r="L168" s="43"/>
      <c r="M168" s="43"/>
      <c r="N168" s="43"/>
    </row>
    <row r="169" spans="11:14">
      <c r="K169" s="43"/>
      <c r="L169" s="43"/>
      <c r="M169" s="43"/>
      <c r="N169" s="43"/>
    </row>
    <row r="170" spans="11:14">
      <c r="K170" s="43"/>
      <c r="L170" s="43"/>
      <c r="M170" s="43"/>
      <c r="N170" s="43"/>
    </row>
    <row r="171" spans="11:14">
      <c r="K171" s="43"/>
      <c r="L171" s="43"/>
      <c r="M171" s="43"/>
      <c r="N171" s="43"/>
    </row>
    <row r="172" spans="11:14">
      <c r="K172" s="43"/>
      <c r="L172" s="43"/>
      <c r="M172" s="43"/>
      <c r="N172" s="43"/>
    </row>
    <row r="173" spans="11:14">
      <c r="K173" s="43"/>
      <c r="L173" s="43"/>
      <c r="M173" s="43"/>
      <c r="N173" s="43"/>
    </row>
    <row r="174" spans="11:14">
      <c r="K174" s="43"/>
      <c r="L174" s="43"/>
      <c r="M174" s="43"/>
      <c r="N174" s="43"/>
    </row>
    <row r="175" spans="11:14">
      <c r="K175" s="43"/>
      <c r="L175" s="43"/>
      <c r="M175" s="43"/>
      <c r="N175" s="43"/>
    </row>
    <row r="176" spans="11:14">
      <c r="K176" s="43"/>
      <c r="L176" s="43"/>
      <c r="M176" s="43"/>
      <c r="N176" s="43"/>
    </row>
    <row r="177" spans="11:14">
      <c r="K177" s="43"/>
      <c r="L177" s="43"/>
      <c r="M177" s="43"/>
      <c r="N177" s="43"/>
    </row>
    <row r="178" spans="11:14">
      <c r="K178" s="43"/>
      <c r="L178" s="43"/>
      <c r="M178" s="43"/>
      <c r="N178" s="43"/>
    </row>
    <row r="179" spans="11:14">
      <c r="K179" s="43"/>
      <c r="L179" s="43"/>
      <c r="M179" s="43"/>
      <c r="N179" s="43"/>
    </row>
    <row r="180" spans="11:14">
      <c r="K180" s="43"/>
      <c r="L180" s="43"/>
      <c r="M180" s="43"/>
      <c r="N180" s="43"/>
    </row>
    <row r="181" spans="11:14">
      <c r="K181" s="43"/>
      <c r="L181" s="43"/>
      <c r="M181" s="43"/>
      <c r="N181" s="43"/>
    </row>
    <row r="182" spans="11:14">
      <c r="K182" s="43"/>
      <c r="L182" s="43"/>
      <c r="M182" s="43"/>
      <c r="N182" s="43"/>
    </row>
    <row r="183" spans="11:14">
      <c r="K183" s="43"/>
      <c r="L183" s="43"/>
      <c r="M183" s="43"/>
      <c r="N183" s="43"/>
    </row>
    <row r="184" spans="11:14">
      <c r="K184" s="43"/>
      <c r="L184" s="43"/>
      <c r="M184" s="43"/>
      <c r="N184" s="43"/>
    </row>
    <row r="185" spans="11:14">
      <c r="K185" s="43"/>
      <c r="L185" s="43"/>
      <c r="M185" s="43"/>
      <c r="N185" s="43"/>
    </row>
    <row r="186" spans="11:14">
      <c r="K186" s="43"/>
      <c r="L186" s="43"/>
      <c r="M186" s="43"/>
      <c r="N186" s="43"/>
    </row>
    <row r="187" spans="11:14">
      <c r="K187" s="43"/>
      <c r="L187" s="43"/>
      <c r="M187" s="43"/>
      <c r="N187" s="43"/>
    </row>
    <row r="188" spans="11:14">
      <c r="K188" s="43"/>
      <c r="L188" s="43"/>
      <c r="M188" s="43"/>
      <c r="N188" s="43"/>
    </row>
    <row r="189" spans="11:14">
      <c r="K189" s="43"/>
      <c r="L189" s="43"/>
      <c r="M189" s="43"/>
      <c r="N189" s="43"/>
    </row>
    <row r="190" spans="11:14">
      <c r="K190" s="43"/>
      <c r="L190" s="43"/>
      <c r="M190" s="43"/>
      <c r="N190" s="43"/>
    </row>
    <row r="191" spans="11:14">
      <c r="K191" s="43"/>
      <c r="L191" s="43"/>
      <c r="M191" s="43"/>
      <c r="N191" s="43"/>
    </row>
    <row r="192" spans="11:14">
      <c r="K192" s="43"/>
      <c r="L192" s="43"/>
      <c r="M192" s="43"/>
      <c r="N192" s="43"/>
    </row>
    <row r="193" spans="11:14">
      <c r="K193" s="43"/>
      <c r="L193" s="43"/>
      <c r="M193" s="43"/>
      <c r="N193" s="43"/>
    </row>
    <row r="194" spans="11:14">
      <c r="K194" s="43"/>
      <c r="L194" s="43"/>
      <c r="M194" s="43"/>
      <c r="N194" s="43"/>
    </row>
    <row r="195" spans="11:14">
      <c r="K195" s="43"/>
      <c r="L195" s="43"/>
      <c r="M195" s="43"/>
      <c r="N195" s="43"/>
    </row>
    <row r="196" spans="11:14">
      <c r="K196" s="43"/>
      <c r="L196" s="43"/>
      <c r="M196" s="43"/>
      <c r="N196" s="43"/>
    </row>
    <row r="197" spans="11:14">
      <c r="K197" s="43"/>
      <c r="L197" s="43"/>
      <c r="M197" s="43"/>
      <c r="N197" s="43"/>
    </row>
    <row r="198" spans="11:14">
      <c r="K198" s="43"/>
      <c r="L198" s="43"/>
      <c r="M198" s="43"/>
      <c r="N198" s="43"/>
    </row>
    <row r="199" spans="11:14">
      <c r="K199" s="43"/>
      <c r="L199" s="43"/>
      <c r="M199" s="43"/>
      <c r="N199" s="43"/>
    </row>
    <row r="200" spans="11:14">
      <c r="K200" s="43"/>
      <c r="L200" s="43"/>
      <c r="M200" s="43"/>
      <c r="N200" s="43"/>
    </row>
    <row r="201" spans="11:14">
      <c r="K201" s="43"/>
      <c r="L201" s="43"/>
      <c r="M201" s="43"/>
      <c r="N201" s="43"/>
    </row>
    <row r="202" spans="11:14">
      <c r="K202" s="43"/>
      <c r="L202" s="43"/>
      <c r="M202" s="43"/>
      <c r="N202" s="43"/>
    </row>
    <row r="203" spans="11:14">
      <c r="K203" s="43"/>
      <c r="L203" s="43"/>
      <c r="M203" s="43"/>
      <c r="N203" s="43"/>
    </row>
    <row r="204" spans="11:14">
      <c r="K204" s="43"/>
      <c r="L204" s="43"/>
      <c r="M204" s="43"/>
      <c r="N204" s="43"/>
    </row>
    <row r="205" spans="11:14">
      <c r="K205" s="43"/>
      <c r="L205" s="43"/>
      <c r="M205" s="43"/>
      <c r="N205" s="43"/>
    </row>
    <row r="206" spans="11:14">
      <c r="K206" s="43"/>
      <c r="L206" s="43"/>
      <c r="M206" s="43"/>
      <c r="N206" s="43"/>
    </row>
    <row r="207" spans="11:14">
      <c r="K207" s="43"/>
      <c r="L207" s="43"/>
      <c r="M207" s="43"/>
      <c r="N207" s="43"/>
    </row>
    <row r="208" spans="11:14">
      <c r="K208" s="43"/>
      <c r="L208" s="43"/>
      <c r="M208" s="43"/>
      <c r="N208" s="43"/>
    </row>
    <row r="209" spans="11:14">
      <c r="K209" s="43"/>
      <c r="L209" s="43"/>
      <c r="M209" s="43"/>
      <c r="N209" s="43"/>
    </row>
    <row r="210" spans="11:14">
      <c r="K210" s="43"/>
      <c r="L210" s="43"/>
      <c r="M210" s="43"/>
      <c r="N210" s="43"/>
    </row>
    <row r="211" spans="11:14">
      <c r="K211" s="43"/>
      <c r="L211" s="43"/>
      <c r="M211" s="43"/>
      <c r="N211" s="43"/>
    </row>
    <row r="212" spans="11:14">
      <c r="K212" s="43"/>
      <c r="L212" s="43"/>
      <c r="M212" s="43"/>
      <c r="N212" s="43"/>
    </row>
    <row r="213" spans="11:14">
      <c r="K213" s="43"/>
      <c r="L213" s="43"/>
      <c r="M213" s="43"/>
      <c r="N213" s="43"/>
    </row>
    <row r="214" spans="11:14">
      <c r="K214" s="43"/>
      <c r="L214" s="43"/>
      <c r="M214" s="43"/>
      <c r="N214" s="43"/>
    </row>
    <row r="215" spans="11:14">
      <c r="K215" s="43"/>
      <c r="L215" s="43"/>
      <c r="M215" s="43"/>
      <c r="N215" s="43"/>
    </row>
    <row r="216" spans="11:14">
      <c r="K216" s="43"/>
      <c r="L216" s="43"/>
      <c r="M216" s="43"/>
      <c r="N216" s="43"/>
    </row>
    <row r="217" spans="11:14">
      <c r="K217" s="43"/>
      <c r="L217" s="43"/>
      <c r="M217" s="43"/>
      <c r="N217" s="43"/>
    </row>
    <row r="218" spans="11:14">
      <c r="K218" s="43"/>
      <c r="L218" s="43"/>
      <c r="M218" s="43"/>
      <c r="N218" s="43"/>
    </row>
    <row r="219" spans="11:14">
      <c r="K219" s="43"/>
      <c r="L219" s="43"/>
      <c r="M219" s="43"/>
      <c r="N219" s="43"/>
    </row>
    <row r="220" spans="11:14">
      <c r="K220" s="43"/>
      <c r="L220" s="43"/>
      <c r="M220" s="43"/>
      <c r="N220" s="43"/>
    </row>
    <row r="221" spans="11:14">
      <c r="K221" s="43"/>
      <c r="L221" s="43"/>
      <c r="M221" s="43"/>
      <c r="N221" s="43"/>
    </row>
    <row r="222" spans="11:14">
      <c r="K222" s="43"/>
      <c r="L222" s="43"/>
      <c r="M222" s="43"/>
      <c r="N222" s="43"/>
    </row>
    <row r="223" spans="11:14">
      <c r="K223" s="43"/>
      <c r="L223" s="43"/>
      <c r="M223" s="43"/>
      <c r="N223" s="43"/>
    </row>
    <row r="224" spans="11:14">
      <c r="K224" s="43"/>
      <c r="L224" s="43"/>
      <c r="M224" s="43"/>
      <c r="N224" s="43"/>
    </row>
    <row r="225" spans="11:14">
      <c r="K225" s="43"/>
      <c r="L225" s="43"/>
      <c r="M225" s="43"/>
      <c r="N225" s="43"/>
    </row>
    <row r="226" spans="11:14">
      <c r="K226" s="43"/>
      <c r="L226" s="43"/>
      <c r="M226" s="43"/>
      <c r="N226" s="43"/>
    </row>
    <row r="227" spans="11:14">
      <c r="K227" s="43"/>
      <c r="L227" s="43"/>
      <c r="M227" s="43"/>
      <c r="N227" s="43"/>
    </row>
    <row r="228" spans="11:14">
      <c r="K228" s="43"/>
      <c r="L228" s="43"/>
      <c r="M228" s="43"/>
      <c r="N228" s="43"/>
    </row>
    <row r="229" spans="11:14">
      <c r="K229" s="43"/>
      <c r="L229" s="43"/>
      <c r="M229" s="43"/>
      <c r="N229" s="43"/>
    </row>
    <row r="230" spans="11:14">
      <c r="K230" s="43"/>
      <c r="L230" s="43"/>
      <c r="M230" s="43"/>
      <c r="N230" s="43"/>
    </row>
    <row r="231" spans="11:14">
      <c r="K231" s="43"/>
      <c r="L231" s="43"/>
      <c r="M231" s="43"/>
      <c r="N231" s="43"/>
    </row>
    <row r="232" spans="11:14">
      <c r="K232" s="43"/>
      <c r="L232" s="43"/>
      <c r="M232" s="43"/>
      <c r="N232" s="43"/>
    </row>
    <row r="233" spans="11:14">
      <c r="K233" s="43"/>
      <c r="L233" s="43"/>
      <c r="M233" s="43"/>
      <c r="N233" s="43"/>
    </row>
    <row r="234" spans="11:14">
      <c r="K234" s="43"/>
      <c r="L234" s="43"/>
      <c r="M234" s="43"/>
      <c r="N234" s="43"/>
    </row>
    <row r="235" spans="11:14">
      <c r="K235" s="43"/>
      <c r="L235" s="43"/>
      <c r="M235" s="43"/>
      <c r="N235" s="43"/>
    </row>
    <row r="236" spans="11:14">
      <c r="K236" s="43"/>
      <c r="L236" s="43"/>
      <c r="M236" s="43"/>
      <c r="N236" s="43"/>
    </row>
    <row r="237" spans="11:14">
      <c r="K237" s="43"/>
      <c r="L237" s="43"/>
      <c r="M237" s="43"/>
      <c r="N237" s="43"/>
    </row>
    <row r="238" spans="11:14">
      <c r="K238" s="43"/>
      <c r="L238" s="43"/>
      <c r="M238" s="43"/>
      <c r="N238" s="43"/>
    </row>
    <row r="239" spans="11:14">
      <c r="K239" s="43"/>
      <c r="L239" s="43"/>
      <c r="M239" s="43"/>
      <c r="N239" s="43"/>
    </row>
    <row r="240" spans="11:14">
      <c r="K240" s="43"/>
      <c r="L240" s="43"/>
      <c r="M240" s="43"/>
      <c r="N240" s="43"/>
    </row>
    <row r="241" spans="11:14">
      <c r="K241" s="43"/>
      <c r="L241" s="43"/>
      <c r="M241" s="43"/>
      <c r="N241" s="43"/>
    </row>
    <row r="242" spans="11:14">
      <c r="K242" s="43"/>
      <c r="L242" s="43"/>
      <c r="M242" s="43"/>
      <c r="N242" s="43"/>
    </row>
    <row r="243" spans="11:14">
      <c r="K243" s="43"/>
      <c r="L243" s="43"/>
      <c r="M243" s="43"/>
      <c r="N243" s="43"/>
    </row>
    <row r="244" spans="11:14">
      <c r="K244" s="43"/>
      <c r="L244" s="43"/>
      <c r="M244" s="43"/>
      <c r="N244" s="43"/>
    </row>
    <row r="245" spans="11:14">
      <c r="K245" s="43"/>
      <c r="L245" s="43"/>
      <c r="M245" s="43"/>
      <c r="N245" s="43"/>
    </row>
    <row r="246" spans="11:14">
      <c r="K246" s="43"/>
      <c r="L246" s="43"/>
      <c r="M246" s="43"/>
      <c r="N246" s="43"/>
    </row>
    <row r="247" spans="11:14">
      <c r="K247" s="43"/>
      <c r="L247" s="43"/>
      <c r="M247" s="43"/>
      <c r="N247" s="43"/>
    </row>
    <row r="248" spans="11:14">
      <c r="K248" s="43"/>
      <c r="L248" s="43"/>
      <c r="M248" s="43"/>
      <c r="N248" s="43"/>
    </row>
    <row r="249" spans="11:14">
      <c r="K249" s="43"/>
      <c r="L249" s="43"/>
      <c r="M249" s="43"/>
      <c r="N249" s="43"/>
    </row>
    <row r="250" spans="11:14">
      <c r="K250" s="43"/>
      <c r="L250" s="43"/>
      <c r="M250" s="43"/>
      <c r="N250" s="43"/>
    </row>
    <row r="251" spans="11:14">
      <c r="K251" s="43"/>
      <c r="L251" s="43"/>
      <c r="M251" s="43"/>
      <c r="N251" s="43"/>
    </row>
    <row r="252" spans="11:14">
      <c r="K252" s="43"/>
      <c r="L252" s="43"/>
      <c r="M252" s="43"/>
      <c r="N252" s="43"/>
    </row>
    <row r="253" spans="11:14">
      <c r="K253" s="43"/>
      <c r="L253" s="43"/>
      <c r="M253" s="43"/>
      <c r="N253" s="43"/>
    </row>
    <row r="254" spans="11:14">
      <c r="K254" s="43"/>
      <c r="L254" s="43"/>
      <c r="M254" s="43"/>
      <c r="N254" s="43"/>
    </row>
    <row r="255" spans="11:14">
      <c r="K255" s="43"/>
      <c r="L255" s="43"/>
      <c r="M255" s="43"/>
      <c r="N255" s="43"/>
    </row>
    <row r="256" spans="11:14">
      <c r="K256" s="43"/>
      <c r="L256" s="43"/>
      <c r="M256" s="43"/>
      <c r="N256" s="43"/>
    </row>
    <row r="257" spans="11:14">
      <c r="K257" s="43"/>
      <c r="L257" s="43"/>
      <c r="M257" s="43"/>
      <c r="N257" s="43"/>
    </row>
    <row r="258" spans="11:14">
      <c r="K258" s="43"/>
      <c r="L258" s="43"/>
      <c r="M258" s="43"/>
      <c r="N258" s="43"/>
    </row>
    <row r="259" spans="11:14">
      <c r="K259" s="43"/>
      <c r="L259" s="43"/>
      <c r="M259" s="43"/>
      <c r="N259" s="43"/>
    </row>
    <row r="260" spans="11:14">
      <c r="K260" s="43"/>
      <c r="L260" s="43"/>
      <c r="M260" s="43"/>
      <c r="N260" s="43"/>
    </row>
    <row r="261" spans="11:14">
      <c r="K261" s="43"/>
      <c r="L261" s="43"/>
      <c r="M261" s="43"/>
      <c r="N261" s="43"/>
    </row>
    <row r="262" spans="11:14">
      <c r="K262" s="43"/>
      <c r="L262" s="43"/>
      <c r="M262" s="43"/>
      <c r="N262" s="43"/>
    </row>
    <row r="263" spans="11:14">
      <c r="K263" s="43"/>
      <c r="L263" s="43"/>
      <c r="M263" s="43"/>
      <c r="N263" s="43"/>
    </row>
    <row r="264" spans="11:14">
      <c r="K264" s="43"/>
      <c r="L264" s="43"/>
      <c r="M264" s="43"/>
      <c r="N264" s="43"/>
    </row>
    <row r="265" spans="11:14">
      <c r="K265" s="43"/>
      <c r="L265" s="43"/>
      <c r="M265" s="43"/>
      <c r="N265" s="43"/>
    </row>
    <row r="266" spans="11:14">
      <c r="K266" s="43"/>
      <c r="L266" s="43"/>
      <c r="M266" s="43"/>
      <c r="N266" s="43"/>
    </row>
    <row r="267" spans="11:14">
      <c r="K267" s="43"/>
      <c r="L267" s="43"/>
      <c r="M267" s="43"/>
      <c r="N267" s="43"/>
    </row>
    <row r="268" spans="11:14">
      <c r="K268" s="43"/>
      <c r="L268" s="43"/>
      <c r="M268" s="43"/>
      <c r="N268" s="43"/>
    </row>
    <row r="269" spans="11:14">
      <c r="K269" s="43"/>
      <c r="L269" s="43"/>
      <c r="M269" s="43"/>
      <c r="N269" s="43"/>
    </row>
    <row r="270" spans="11:14">
      <c r="K270" s="43"/>
      <c r="L270" s="43"/>
      <c r="M270" s="43"/>
      <c r="N270" s="43"/>
    </row>
    <row r="271" spans="11:14">
      <c r="K271" s="43"/>
      <c r="L271" s="43"/>
      <c r="M271" s="43"/>
      <c r="N271" s="43"/>
    </row>
    <row r="272" spans="11:14">
      <c r="K272" s="43"/>
      <c r="L272" s="43"/>
      <c r="M272" s="43"/>
      <c r="N272" s="43"/>
    </row>
    <row r="273" spans="11:14">
      <c r="K273" s="43"/>
      <c r="L273" s="43"/>
      <c r="M273" s="43"/>
      <c r="N273" s="43"/>
    </row>
    <row r="274" spans="11:14">
      <c r="K274" s="43"/>
      <c r="L274" s="43"/>
      <c r="M274" s="43"/>
      <c r="N274" s="43"/>
    </row>
    <row r="275" spans="11:14">
      <c r="K275" s="43"/>
      <c r="L275" s="43"/>
      <c r="M275" s="43"/>
      <c r="N275" s="43"/>
    </row>
    <row r="276" spans="11:14">
      <c r="K276" s="43"/>
      <c r="L276" s="43"/>
      <c r="M276" s="43"/>
      <c r="N276" s="43"/>
    </row>
    <row r="277" spans="11:14">
      <c r="K277" s="43"/>
      <c r="L277" s="43"/>
      <c r="M277" s="43"/>
      <c r="N277" s="43"/>
    </row>
    <row r="278" spans="11:14">
      <c r="K278" s="43"/>
      <c r="L278" s="43"/>
      <c r="M278" s="43"/>
      <c r="N278" s="43"/>
    </row>
    <row r="279" spans="11:14">
      <c r="K279" s="43"/>
      <c r="L279" s="43"/>
      <c r="M279" s="43"/>
      <c r="N279" s="43"/>
    </row>
    <row r="280" spans="11:14">
      <c r="K280" s="43"/>
      <c r="L280" s="43"/>
      <c r="M280" s="43"/>
      <c r="N280" s="43"/>
    </row>
    <row r="281" spans="11:14">
      <c r="K281" s="43"/>
      <c r="L281" s="43"/>
      <c r="M281" s="43"/>
      <c r="N281" s="43"/>
    </row>
    <row r="282" spans="11:14">
      <c r="K282" s="43"/>
      <c r="L282" s="43"/>
      <c r="M282" s="43"/>
      <c r="N282" s="43"/>
    </row>
    <row r="283" spans="11:14">
      <c r="K283" s="43"/>
      <c r="L283" s="43"/>
      <c r="M283" s="43"/>
      <c r="N283" s="43"/>
    </row>
    <row r="284" spans="11:14">
      <c r="K284" s="43"/>
      <c r="L284" s="43"/>
      <c r="M284" s="43"/>
      <c r="N284" s="43"/>
    </row>
    <row r="285" spans="11:14">
      <c r="K285" s="43"/>
      <c r="L285" s="43"/>
      <c r="M285" s="43"/>
      <c r="N285" s="43"/>
    </row>
    <row r="286" spans="11:14">
      <c r="K286" s="43"/>
      <c r="L286" s="43"/>
      <c r="M286" s="43"/>
      <c r="N286" s="43"/>
    </row>
    <row r="287" spans="11:14">
      <c r="K287" s="43"/>
      <c r="L287" s="43"/>
      <c r="M287" s="43"/>
      <c r="N287" s="43"/>
    </row>
    <row r="288" spans="11:14">
      <c r="K288" s="43"/>
      <c r="L288" s="43"/>
      <c r="M288" s="43"/>
      <c r="N288" s="43"/>
    </row>
    <row r="289" spans="11:14">
      <c r="K289" s="43"/>
      <c r="L289" s="43"/>
      <c r="M289" s="43"/>
      <c r="N289" s="43"/>
    </row>
    <row r="290" spans="11:14">
      <c r="K290" s="43"/>
      <c r="L290" s="43"/>
      <c r="M290" s="43"/>
      <c r="N290" s="43"/>
    </row>
    <row r="291" spans="11:14">
      <c r="K291" s="43"/>
      <c r="L291" s="43"/>
      <c r="M291" s="43"/>
      <c r="N291" s="43"/>
    </row>
    <row r="292" spans="11:14">
      <c r="K292" s="43"/>
      <c r="L292" s="43"/>
      <c r="M292" s="43"/>
      <c r="N292" s="43"/>
    </row>
    <row r="293" spans="11:14">
      <c r="K293" s="43"/>
      <c r="L293" s="43"/>
      <c r="M293" s="43"/>
      <c r="N293" s="43"/>
    </row>
    <row r="294" spans="11:14">
      <c r="K294" s="43"/>
      <c r="L294" s="43"/>
      <c r="M294" s="43"/>
      <c r="N294" s="43"/>
    </row>
    <row r="295" spans="11:14">
      <c r="K295" s="43"/>
      <c r="L295" s="43"/>
      <c r="M295" s="43"/>
      <c r="N295" s="43"/>
    </row>
    <row r="296" spans="11:14">
      <c r="K296" s="43"/>
      <c r="L296" s="43"/>
      <c r="M296" s="43"/>
      <c r="N296" s="43"/>
    </row>
    <row r="297" spans="11:14">
      <c r="K297" s="43"/>
      <c r="L297" s="43"/>
      <c r="M297" s="43"/>
      <c r="N297" s="43"/>
    </row>
    <row r="298" spans="11:14">
      <c r="K298" s="43"/>
      <c r="L298" s="43"/>
      <c r="M298" s="43"/>
      <c r="N298" s="43"/>
    </row>
    <row r="299" spans="11:14">
      <c r="K299" s="43"/>
      <c r="L299" s="43"/>
      <c r="M299" s="43"/>
      <c r="N299" s="43"/>
    </row>
    <row r="300" spans="11:14">
      <c r="K300" s="43"/>
      <c r="L300" s="43"/>
      <c r="M300" s="43"/>
      <c r="N300" s="43"/>
    </row>
    <row r="301" spans="11:14">
      <c r="K301" s="43"/>
      <c r="L301" s="43"/>
      <c r="M301" s="43"/>
      <c r="N301" s="43"/>
    </row>
    <row r="302" spans="11:14">
      <c r="K302" s="43"/>
      <c r="L302" s="43"/>
      <c r="M302" s="43"/>
      <c r="N302" s="43"/>
    </row>
    <row r="303" spans="11:14">
      <c r="K303" s="43"/>
      <c r="L303" s="43"/>
      <c r="M303" s="43"/>
      <c r="N303" s="43"/>
    </row>
    <row r="304" spans="11:14">
      <c r="K304" s="43"/>
      <c r="L304" s="43"/>
      <c r="M304" s="43"/>
      <c r="N304" s="43"/>
    </row>
    <row r="305" spans="11:14">
      <c r="K305" s="43"/>
      <c r="L305" s="43"/>
      <c r="M305" s="43"/>
      <c r="N305" s="43"/>
    </row>
    <row r="306" spans="11:14">
      <c r="K306" s="43"/>
      <c r="L306" s="43"/>
      <c r="M306" s="43"/>
      <c r="N306" s="43"/>
    </row>
    <row r="307" spans="11:14">
      <c r="K307" s="43"/>
      <c r="L307" s="43"/>
      <c r="M307" s="43"/>
      <c r="N307" s="43"/>
    </row>
    <row r="308" spans="11:14">
      <c r="K308" s="43"/>
      <c r="L308" s="43"/>
      <c r="M308" s="43"/>
      <c r="N308" s="43"/>
    </row>
    <row r="309" spans="11:14">
      <c r="K309" s="43"/>
      <c r="L309" s="43"/>
      <c r="M309" s="43"/>
      <c r="N309" s="43"/>
    </row>
    <row r="310" spans="11:14">
      <c r="K310" s="43"/>
      <c r="L310" s="43"/>
      <c r="M310" s="43"/>
      <c r="N310" s="43"/>
    </row>
    <row r="311" spans="11:14">
      <c r="K311" s="43"/>
      <c r="L311" s="43"/>
      <c r="M311" s="43"/>
      <c r="N311" s="43"/>
    </row>
    <row r="312" spans="11:14">
      <c r="K312" s="43"/>
      <c r="L312" s="43"/>
      <c r="M312" s="43"/>
      <c r="N312" s="43"/>
    </row>
    <row r="313" spans="11:14">
      <c r="K313" s="43"/>
      <c r="L313" s="43"/>
      <c r="M313" s="43"/>
      <c r="N313" s="43"/>
    </row>
    <row r="314" spans="11:14">
      <c r="K314" s="43"/>
      <c r="L314" s="43"/>
      <c r="M314" s="43"/>
      <c r="N314" s="43"/>
    </row>
    <row r="315" spans="11:14">
      <c r="K315" s="43"/>
      <c r="L315" s="43"/>
      <c r="M315" s="43"/>
      <c r="N315" s="43"/>
    </row>
    <row r="316" spans="11:14">
      <c r="K316" s="43"/>
      <c r="L316" s="43"/>
      <c r="M316" s="43"/>
      <c r="N316" s="43"/>
    </row>
    <row r="317" spans="11:14">
      <c r="K317" s="43"/>
      <c r="L317" s="43"/>
      <c r="M317" s="43"/>
      <c r="N317" s="43"/>
    </row>
    <row r="318" spans="11:14">
      <c r="K318" s="43"/>
      <c r="L318" s="43"/>
      <c r="M318" s="43"/>
      <c r="N318" s="43"/>
    </row>
    <row r="319" spans="11:14">
      <c r="K319" s="43"/>
      <c r="L319" s="43"/>
      <c r="M319" s="43"/>
      <c r="N319" s="43"/>
    </row>
    <row r="320" spans="11:14">
      <c r="K320" s="43"/>
      <c r="L320" s="43"/>
      <c r="M320" s="43"/>
      <c r="N320" s="43"/>
    </row>
    <row r="321" spans="11:14">
      <c r="K321" s="43"/>
      <c r="L321" s="43"/>
      <c r="M321" s="43"/>
      <c r="N321" s="43"/>
    </row>
    <row r="322" spans="11:14">
      <c r="K322" s="43"/>
      <c r="L322" s="43"/>
      <c r="M322" s="43"/>
      <c r="N322" s="43"/>
    </row>
    <row r="323" spans="11:14">
      <c r="K323" s="43"/>
      <c r="L323" s="43"/>
      <c r="M323" s="43"/>
      <c r="N323" s="43"/>
    </row>
    <row r="324" spans="11:14">
      <c r="K324" s="43"/>
      <c r="L324" s="43"/>
      <c r="M324" s="43"/>
      <c r="N324" s="43"/>
    </row>
    <row r="325" spans="11:14">
      <c r="K325" s="43"/>
      <c r="L325" s="43"/>
      <c r="M325" s="43"/>
      <c r="N325" s="43"/>
    </row>
    <row r="326" spans="11:14">
      <c r="K326" s="43"/>
      <c r="L326" s="43"/>
      <c r="M326" s="43"/>
      <c r="N326" s="43"/>
    </row>
    <row r="327" spans="11:14">
      <c r="K327" s="43"/>
      <c r="L327" s="43"/>
      <c r="M327" s="43"/>
      <c r="N327" s="43"/>
    </row>
    <row r="328" spans="11:14">
      <c r="K328" s="43"/>
      <c r="L328" s="43"/>
      <c r="M328" s="43"/>
      <c r="N328" s="43"/>
    </row>
    <row r="329" spans="11:14">
      <c r="K329" s="43"/>
      <c r="L329" s="43"/>
      <c r="M329" s="43"/>
      <c r="N329" s="43"/>
    </row>
    <row r="330" spans="11:14">
      <c r="K330" s="43"/>
      <c r="L330" s="43"/>
      <c r="M330" s="43"/>
      <c r="N330" s="43"/>
    </row>
    <row r="331" spans="11:14">
      <c r="K331" s="43"/>
      <c r="L331" s="43"/>
      <c r="M331" s="43"/>
      <c r="N331" s="43"/>
    </row>
    <row r="332" spans="11:14">
      <c r="K332" s="43"/>
      <c r="L332" s="43"/>
      <c r="M332" s="43"/>
      <c r="N332" s="43"/>
    </row>
    <row r="333" spans="11:14">
      <c r="K333" s="43"/>
      <c r="L333" s="43"/>
      <c r="M333" s="43"/>
      <c r="N333" s="43"/>
    </row>
    <row r="334" spans="11:14">
      <c r="K334" s="43"/>
      <c r="L334" s="43"/>
      <c r="M334" s="43"/>
      <c r="N334" s="43"/>
    </row>
    <row r="335" spans="11:14">
      <c r="K335" s="43"/>
      <c r="L335" s="43"/>
      <c r="M335" s="43"/>
      <c r="N335" s="43"/>
    </row>
    <row r="336" spans="11:14">
      <c r="K336" s="43"/>
      <c r="L336" s="43"/>
      <c r="M336" s="43"/>
      <c r="N336" s="43"/>
    </row>
    <row r="337" spans="11:14">
      <c r="K337" s="43"/>
      <c r="L337" s="43"/>
      <c r="M337" s="43"/>
      <c r="N337" s="43"/>
    </row>
    <row r="338" spans="11:14">
      <c r="K338" s="43"/>
      <c r="L338" s="43"/>
      <c r="M338" s="43"/>
      <c r="N338" s="43"/>
    </row>
    <row r="339" spans="11:14">
      <c r="K339" s="43"/>
      <c r="L339" s="43"/>
      <c r="M339" s="43"/>
      <c r="N339" s="43"/>
    </row>
    <row r="340" spans="11:14">
      <c r="K340" s="43"/>
      <c r="L340" s="43"/>
      <c r="M340" s="43"/>
      <c r="N340" s="43"/>
    </row>
    <row r="341" spans="11:14">
      <c r="K341" s="43"/>
      <c r="L341" s="43"/>
      <c r="M341" s="43"/>
      <c r="N341" s="43"/>
    </row>
    <row r="342" spans="11:14">
      <c r="K342" s="43"/>
      <c r="L342" s="43"/>
      <c r="M342" s="43"/>
      <c r="N342" s="43"/>
    </row>
    <row r="343" spans="11:14">
      <c r="K343" s="43"/>
      <c r="L343" s="43"/>
      <c r="M343" s="43"/>
      <c r="N343" s="43"/>
    </row>
    <row r="344" spans="11:14">
      <c r="K344" s="43"/>
      <c r="L344" s="43"/>
      <c r="M344" s="43"/>
      <c r="N344" s="43"/>
    </row>
    <row r="345" spans="11:14">
      <c r="K345" s="43"/>
      <c r="L345" s="43"/>
      <c r="M345" s="43"/>
      <c r="N345" s="43"/>
    </row>
    <row r="346" spans="11:14">
      <c r="K346" s="43"/>
      <c r="L346" s="43"/>
      <c r="M346" s="43"/>
      <c r="N346" s="43"/>
    </row>
    <row r="347" spans="11:14">
      <c r="K347" s="43"/>
      <c r="L347" s="43"/>
      <c r="M347" s="43"/>
      <c r="N347" s="43"/>
    </row>
    <row r="348" spans="11:14">
      <c r="K348" s="43"/>
      <c r="L348" s="43"/>
      <c r="M348" s="43"/>
      <c r="N348" s="43"/>
    </row>
    <row r="349" spans="11:14">
      <c r="K349" s="43"/>
      <c r="L349" s="43"/>
      <c r="M349" s="43"/>
      <c r="N349" s="43"/>
    </row>
    <row r="350" spans="11:14">
      <c r="K350" s="43"/>
      <c r="L350" s="43"/>
      <c r="M350" s="43"/>
      <c r="N350" s="43"/>
    </row>
    <row r="351" spans="11:14">
      <c r="K351" s="43"/>
      <c r="L351" s="43"/>
      <c r="M351" s="43"/>
      <c r="N351" s="43"/>
    </row>
    <row r="352" spans="11:14">
      <c r="K352" s="43"/>
      <c r="L352" s="43"/>
      <c r="M352" s="43"/>
      <c r="N352" s="43"/>
    </row>
    <row r="353" spans="11:14">
      <c r="K353" s="43"/>
      <c r="L353" s="43"/>
      <c r="M353" s="43"/>
      <c r="N353" s="43"/>
    </row>
    <row r="354" spans="11:14">
      <c r="K354" s="43"/>
      <c r="L354" s="43"/>
      <c r="M354" s="43"/>
      <c r="N354" s="43"/>
    </row>
    <row r="355" spans="11:14">
      <c r="K355" s="43"/>
      <c r="L355" s="43"/>
      <c r="M355" s="43"/>
      <c r="N355" s="43"/>
    </row>
    <row r="356" spans="11:14">
      <c r="K356" s="43"/>
      <c r="L356" s="43"/>
      <c r="M356" s="43"/>
      <c r="N356" s="43"/>
    </row>
    <row r="357" spans="11:14">
      <c r="K357" s="43"/>
      <c r="L357" s="43"/>
      <c r="M357" s="43"/>
      <c r="N357" s="43"/>
    </row>
    <row r="358" spans="11:14">
      <c r="K358" s="43"/>
      <c r="L358" s="43"/>
      <c r="M358" s="43"/>
      <c r="N358" s="43"/>
    </row>
    <row r="359" spans="11:14">
      <c r="K359" s="43"/>
      <c r="L359" s="43"/>
      <c r="M359" s="43"/>
      <c r="N359" s="43"/>
    </row>
    <row r="360" spans="11:14">
      <c r="K360" s="43"/>
      <c r="L360" s="43"/>
      <c r="M360" s="43"/>
      <c r="N360" s="43"/>
    </row>
    <row r="361" spans="11:14">
      <c r="K361" s="43"/>
      <c r="L361" s="43"/>
      <c r="M361" s="43"/>
      <c r="N361" s="43"/>
    </row>
    <row r="362" spans="11:14">
      <c r="K362" s="43"/>
      <c r="L362" s="43"/>
      <c r="M362" s="43"/>
      <c r="N362" s="43"/>
    </row>
    <row r="363" spans="11:14">
      <c r="K363" s="43"/>
      <c r="L363" s="43"/>
      <c r="M363" s="43"/>
      <c r="N363" s="43"/>
    </row>
    <row r="364" spans="11:14">
      <c r="K364" s="43"/>
      <c r="L364" s="43"/>
      <c r="M364" s="43"/>
      <c r="N364" s="43"/>
    </row>
    <row r="365" spans="11:14">
      <c r="K365" s="43"/>
      <c r="L365" s="43"/>
      <c r="M365" s="43"/>
      <c r="N365" s="43"/>
    </row>
    <row r="366" spans="11:14">
      <c r="K366" s="43"/>
      <c r="L366" s="43"/>
      <c r="M366" s="43"/>
      <c r="N366" s="43"/>
    </row>
    <row r="367" spans="11:14">
      <c r="K367" s="43"/>
      <c r="L367" s="43"/>
      <c r="M367" s="43"/>
      <c r="N367" s="43"/>
    </row>
    <row r="368" spans="11:14">
      <c r="K368" s="43"/>
      <c r="L368" s="43"/>
      <c r="M368" s="43"/>
      <c r="N368" s="43"/>
    </row>
    <row r="369" spans="11:14">
      <c r="K369" s="43"/>
      <c r="L369" s="43"/>
      <c r="M369" s="43"/>
      <c r="N369" s="43"/>
    </row>
    <row r="370" spans="11:14">
      <c r="K370" s="43"/>
      <c r="L370" s="43"/>
      <c r="M370" s="43"/>
      <c r="N370" s="43"/>
    </row>
    <row r="371" spans="11:14">
      <c r="K371" s="43"/>
      <c r="L371" s="43"/>
      <c r="M371" s="43"/>
      <c r="N371" s="43"/>
    </row>
    <row r="372" spans="11:14">
      <c r="K372" s="43"/>
      <c r="L372" s="43"/>
      <c r="M372" s="43"/>
      <c r="N372" s="43"/>
    </row>
    <row r="373" spans="11:14">
      <c r="K373" s="43"/>
      <c r="L373" s="43"/>
      <c r="M373" s="43"/>
      <c r="N373" s="43"/>
    </row>
    <row r="374" spans="11:14">
      <c r="K374" s="43"/>
      <c r="L374" s="43"/>
      <c r="M374" s="43"/>
      <c r="N374" s="43"/>
    </row>
    <row r="375" spans="11:14">
      <c r="K375" s="43"/>
      <c r="L375" s="43"/>
      <c r="M375" s="43"/>
      <c r="N375" s="43"/>
    </row>
    <row r="376" spans="11:14">
      <c r="K376" s="43"/>
      <c r="L376" s="43"/>
      <c r="M376" s="43"/>
      <c r="N376" s="43"/>
    </row>
    <row r="377" spans="11:14">
      <c r="K377" s="43"/>
      <c r="L377" s="43"/>
      <c r="M377" s="43"/>
      <c r="N377" s="43"/>
    </row>
    <row r="378" spans="11:14">
      <c r="K378" s="43"/>
      <c r="L378" s="43"/>
      <c r="M378" s="43"/>
      <c r="N378" s="43"/>
    </row>
    <row r="379" spans="11:14">
      <c r="K379" s="43"/>
      <c r="L379" s="43"/>
      <c r="M379" s="43"/>
      <c r="N379" s="43"/>
    </row>
    <row r="380" spans="11:14">
      <c r="K380" s="43"/>
      <c r="L380" s="43"/>
      <c r="M380" s="43"/>
      <c r="N380" s="43"/>
    </row>
    <row r="381" spans="11:14">
      <c r="K381" s="43"/>
      <c r="L381" s="43"/>
      <c r="M381" s="43"/>
      <c r="N381" s="43"/>
    </row>
    <row r="382" spans="11:14">
      <c r="K382" s="43"/>
      <c r="L382" s="43"/>
      <c r="M382" s="43"/>
      <c r="N382" s="43"/>
    </row>
    <row r="383" spans="11:14">
      <c r="K383" s="43"/>
      <c r="L383" s="43"/>
      <c r="M383" s="43"/>
      <c r="N383" s="43"/>
    </row>
    <row r="384" spans="11:14">
      <c r="K384" s="43"/>
      <c r="L384" s="43"/>
      <c r="M384" s="43"/>
      <c r="N384" s="43"/>
    </row>
    <row r="385" spans="11:14">
      <c r="K385" s="43"/>
      <c r="L385" s="43"/>
      <c r="M385" s="43"/>
      <c r="N385" s="43"/>
    </row>
    <row r="386" spans="11:14">
      <c r="K386" s="43"/>
      <c r="L386" s="43"/>
      <c r="M386" s="43"/>
      <c r="N386" s="43"/>
    </row>
    <row r="387" spans="11:14">
      <c r="K387" s="43"/>
      <c r="L387" s="43"/>
      <c r="M387" s="43"/>
      <c r="N387" s="43"/>
    </row>
    <row r="388" spans="11:14">
      <c r="K388" s="43"/>
      <c r="L388" s="43"/>
      <c r="M388" s="43"/>
      <c r="N388" s="43"/>
    </row>
    <row r="389" spans="11:14">
      <c r="K389" s="43"/>
      <c r="L389" s="43"/>
      <c r="M389" s="43"/>
      <c r="N389" s="43"/>
    </row>
    <row r="390" spans="11:14">
      <c r="K390" s="43"/>
      <c r="L390" s="43"/>
      <c r="M390" s="43"/>
      <c r="N390" s="43"/>
    </row>
    <row r="391" spans="11:14">
      <c r="K391" s="43"/>
      <c r="L391" s="43"/>
      <c r="M391" s="43"/>
      <c r="N391" s="43"/>
    </row>
    <row r="392" spans="11:14">
      <c r="K392" s="43"/>
      <c r="L392" s="43"/>
      <c r="M392" s="43"/>
      <c r="N392" s="43"/>
    </row>
    <row r="393" spans="11:14">
      <c r="K393" s="43"/>
      <c r="L393" s="43"/>
      <c r="M393" s="43"/>
      <c r="N393" s="43"/>
    </row>
    <row r="394" spans="11:14">
      <c r="K394" s="43"/>
      <c r="L394" s="43"/>
      <c r="M394" s="43"/>
      <c r="N394" s="43"/>
    </row>
    <row r="395" spans="11:14">
      <c r="K395" s="43"/>
      <c r="L395" s="43"/>
      <c r="M395" s="43"/>
      <c r="N395" s="43"/>
    </row>
    <row r="396" spans="11:14">
      <c r="K396" s="43"/>
      <c r="L396" s="43"/>
      <c r="M396" s="43"/>
      <c r="N396" s="43"/>
    </row>
    <row r="397" spans="11:14">
      <c r="K397" s="43"/>
      <c r="L397" s="43"/>
      <c r="M397" s="43"/>
      <c r="N397" s="43"/>
    </row>
    <row r="398" spans="11:14">
      <c r="K398" s="43"/>
      <c r="L398" s="43"/>
      <c r="M398" s="43"/>
      <c r="N398" s="43"/>
    </row>
    <row r="399" spans="11:14">
      <c r="K399" s="43"/>
      <c r="L399" s="43"/>
      <c r="M399" s="43"/>
      <c r="N399" s="43"/>
    </row>
    <row r="400" spans="11:14">
      <c r="K400" s="43"/>
      <c r="L400" s="43"/>
      <c r="M400" s="43"/>
      <c r="N400" s="43"/>
    </row>
    <row r="401" spans="11:14">
      <c r="K401" s="43"/>
      <c r="L401" s="43"/>
      <c r="M401" s="43"/>
      <c r="N401" s="43"/>
    </row>
    <row r="402" spans="11:14">
      <c r="K402" s="43"/>
      <c r="L402" s="43"/>
      <c r="M402" s="43"/>
      <c r="N402" s="43"/>
    </row>
    <row r="403" spans="11:14">
      <c r="K403" s="43"/>
      <c r="L403" s="43"/>
      <c r="M403" s="43"/>
      <c r="N403" s="43"/>
    </row>
    <row r="404" spans="11:14">
      <c r="K404" s="43"/>
      <c r="L404" s="43"/>
      <c r="M404" s="43"/>
      <c r="N404" s="43"/>
    </row>
    <row r="405" spans="11:14">
      <c r="K405" s="43"/>
      <c r="L405" s="43"/>
      <c r="M405" s="43"/>
      <c r="N405" s="43"/>
    </row>
    <row r="406" spans="11:14">
      <c r="K406" s="43"/>
      <c r="L406" s="43"/>
      <c r="M406" s="43"/>
      <c r="N406" s="43"/>
    </row>
    <row r="407" spans="11:14">
      <c r="K407" s="43"/>
      <c r="L407" s="43"/>
      <c r="M407" s="43"/>
      <c r="N407" s="43"/>
    </row>
    <row r="408" spans="11:14">
      <c r="K408" s="43"/>
      <c r="L408" s="43"/>
      <c r="M408" s="43"/>
      <c r="N408" s="43"/>
    </row>
    <row r="409" spans="11:14">
      <c r="K409" s="43"/>
      <c r="L409" s="43"/>
      <c r="M409" s="43"/>
      <c r="N409" s="43"/>
    </row>
    <row r="410" spans="11:14">
      <c r="K410" s="43"/>
      <c r="L410" s="43"/>
      <c r="M410" s="43"/>
      <c r="N410" s="43"/>
    </row>
    <row r="411" spans="11:14">
      <c r="K411" s="43"/>
      <c r="L411" s="43"/>
      <c r="M411" s="43"/>
      <c r="N411" s="43"/>
    </row>
    <row r="412" spans="11:14">
      <c r="K412" s="43"/>
      <c r="L412" s="43"/>
      <c r="M412" s="43"/>
      <c r="N412" s="43"/>
    </row>
    <row r="413" spans="11:14">
      <c r="K413" s="43"/>
      <c r="L413" s="43"/>
      <c r="M413" s="43"/>
      <c r="N413" s="43"/>
    </row>
    <row r="414" spans="11:14">
      <c r="K414" s="43"/>
      <c r="L414" s="43"/>
      <c r="M414" s="43"/>
      <c r="N414" s="43"/>
    </row>
    <row r="415" spans="11:14">
      <c r="K415" s="43"/>
      <c r="L415" s="43"/>
      <c r="M415" s="43"/>
      <c r="N415" s="43"/>
    </row>
    <row r="416" spans="11:14">
      <c r="K416" s="43"/>
      <c r="L416" s="43"/>
      <c r="M416" s="43"/>
      <c r="N416" s="43"/>
    </row>
    <row r="417" spans="11:14">
      <c r="K417" s="43"/>
      <c r="L417" s="43"/>
      <c r="M417" s="43"/>
      <c r="N417" s="43"/>
    </row>
    <row r="418" spans="11:14">
      <c r="K418" s="43"/>
      <c r="L418" s="43"/>
      <c r="M418" s="43"/>
      <c r="N418" s="43"/>
    </row>
    <row r="419" spans="11:14">
      <c r="K419" s="43"/>
      <c r="L419" s="43"/>
      <c r="M419" s="43"/>
      <c r="N419" s="43"/>
    </row>
    <row r="420" spans="11:14">
      <c r="K420" s="43"/>
      <c r="L420" s="43"/>
      <c r="M420" s="43"/>
      <c r="N420" s="43"/>
    </row>
    <row r="421" spans="11:14">
      <c r="K421" s="43"/>
      <c r="L421" s="43"/>
      <c r="M421" s="43"/>
      <c r="N421" s="43"/>
    </row>
    <row r="422" spans="11:14">
      <c r="K422" s="43"/>
      <c r="L422" s="43"/>
      <c r="M422" s="43"/>
      <c r="N422" s="43"/>
    </row>
    <row r="423" spans="11:14">
      <c r="K423" s="43"/>
      <c r="L423" s="43"/>
      <c r="M423" s="43"/>
      <c r="N423" s="43"/>
    </row>
    <row r="424" spans="11:14">
      <c r="K424" s="43"/>
      <c r="L424" s="43"/>
      <c r="M424" s="43"/>
      <c r="N424" s="43"/>
    </row>
    <row r="425" spans="11:14">
      <c r="K425" s="43"/>
      <c r="L425" s="43"/>
      <c r="M425" s="43"/>
      <c r="N425" s="43"/>
    </row>
    <row r="426" spans="11:14">
      <c r="K426" s="43"/>
      <c r="L426" s="43"/>
      <c r="M426" s="43"/>
      <c r="N426" s="43"/>
    </row>
    <row r="427" spans="11:14">
      <c r="K427" s="43"/>
      <c r="L427" s="43"/>
      <c r="M427" s="43"/>
      <c r="N427" s="43"/>
    </row>
    <row r="428" spans="11:14">
      <c r="K428" s="43"/>
      <c r="L428" s="43"/>
      <c r="M428" s="43"/>
      <c r="N428" s="43"/>
    </row>
    <row r="429" spans="11:14">
      <c r="K429" s="43"/>
      <c r="L429" s="43"/>
      <c r="M429" s="43"/>
      <c r="N429" s="43"/>
    </row>
    <row r="430" spans="11:14">
      <c r="K430" s="43"/>
      <c r="L430" s="43"/>
      <c r="M430" s="43"/>
      <c r="N430" s="43"/>
    </row>
    <row r="431" spans="11:14">
      <c r="K431" s="43"/>
      <c r="L431" s="43"/>
      <c r="M431" s="43"/>
      <c r="N431" s="43"/>
    </row>
    <row r="432" spans="11:14">
      <c r="K432" s="43"/>
      <c r="L432" s="43"/>
      <c r="M432" s="43"/>
      <c r="N432" s="43"/>
    </row>
    <row r="433" spans="11:14">
      <c r="K433" s="43"/>
      <c r="L433" s="43"/>
      <c r="M433" s="43"/>
      <c r="N433" s="43"/>
    </row>
    <row r="434" spans="11:14">
      <c r="K434" s="43"/>
      <c r="L434" s="43"/>
      <c r="M434" s="43"/>
      <c r="N434" s="43"/>
    </row>
    <row r="435" spans="11:14">
      <c r="K435" s="43"/>
      <c r="L435" s="43"/>
      <c r="M435" s="43"/>
      <c r="N435" s="43"/>
    </row>
    <row r="436" spans="11:14">
      <c r="K436" s="43"/>
      <c r="L436" s="43"/>
      <c r="M436" s="43"/>
      <c r="N436" s="43"/>
    </row>
    <row r="437" spans="11:14">
      <c r="K437" s="43"/>
      <c r="L437" s="43"/>
      <c r="M437" s="43"/>
      <c r="N437" s="43"/>
    </row>
    <row r="438" spans="11:14">
      <c r="K438" s="43"/>
      <c r="L438" s="43"/>
      <c r="M438" s="43"/>
      <c r="N438" s="43"/>
    </row>
    <row r="439" spans="11:14">
      <c r="K439" s="43"/>
      <c r="L439" s="43"/>
      <c r="M439" s="43"/>
      <c r="N439" s="43"/>
    </row>
    <row r="440" spans="11:14">
      <c r="K440" s="43"/>
      <c r="L440" s="43"/>
      <c r="M440" s="43"/>
      <c r="N440" s="43"/>
    </row>
    <row r="441" spans="11:14">
      <c r="K441" s="43"/>
      <c r="L441" s="43"/>
      <c r="M441" s="43"/>
      <c r="N441" s="43"/>
    </row>
    <row r="442" spans="11:14">
      <c r="K442" s="43"/>
      <c r="L442" s="43"/>
      <c r="M442" s="43"/>
      <c r="N442" s="43"/>
    </row>
    <row r="443" spans="11:14">
      <c r="K443" s="43"/>
      <c r="L443" s="43"/>
      <c r="M443" s="43"/>
      <c r="N443" s="43"/>
    </row>
    <row r="444" spans="11:14">
      <c r="K444" s="43"/>
      <c r="L444" s="43"/>
      <c r="M444" s="43"/>
      <c r="N444" s="43"/>
    </row>
    <row r="445" spans="11:14">
      <c r="K445" s="43"/>
      <c r="L445" s="43"/>
      <c r="M445" s="43"/>
      <c r="N445" s="43"/>
    </row>
    <row r="446" spans="11:14">
      <c r="K446" s="43"/>
      <c r="L446" s="43"/>
      <c r="M446" s="43"/>
      <c r="N446" s="43"/>
    </row>
    <row r="447" spans="11:14">
      <c r="K447" s="43"/>
      <c r="L447" s="43"/>
      <c r="M447" s="43"/>
      <c r="N447" s="43"/>
    </row>
    <row r="448" spans="11:14">
      <c r="K448" s="43"/>
      <c r="L448" s="43"/>
      <c r="M448" s="43"/>
      <c r="N448" s="43"/>
    </row>
    <row r="449" spans="11:14">
      <c r="K449" s="43"/>
      <c r="L449" s="43"/>
      <c r="M449" s="43"/>
      <c r="N449" s="43"/>
    </row>
    <row r="450" spans="11:14">
      <c r="K450" s="43"/>
      <c r="L450" s="43"/>
      <c r="M450" s="43"/>
      <c r="N450" s="43"/>
    </row>
    <row r="451" spans="11:14">
      <c r="K451" s="43"/>
      <c r="L451" s="43"/>
      <c r="M451" s="43"/>
      <c r="N451" s="43"/>
    </row>
    <row r="452" spans="11:14">
      <c r="K452" s="43"/>
      <c r="L452" s="43"/>
      <c r="M452" s="43"/>
      <c r="N452" s="43"/>
    </row>
    <row r="453" spans="11:14">
      <c r="K453" s="43"/>
      <c r="L453" s="43"/>
      <c r="M453" s="43"/>
      <c r="N453" s="43"/>
    </row>
    <row r="454" spans="11:14">
      <c r="K454" s="43"/>
      <c r="L454" s="43"/>
      <c r="M454" s="43"/>
      <c r="N454" s="43"/>
    </row>
    <row r="455" spans="11:14">
      <c r="K455" s="43"/>
      <c r="L455" s="43"/>
      <c r="M455" s="43"/>
      <c r="N455" s="43"/>
    </row>
    <row r="456" spans="11:14">
      <c r="K456" s="43"/>
      <c r="L456" s="43"/>
      <c r="M456" s="43"/>
      <c r="N456" s="43"/>
    </row>
    <row r="457" spans="11:14">
      <c r="K457" s="43"/>
      <c r="L457" s="43"/>
      <c r="M457" s="43"/>
      <c r="N457" s="43"/>
    </row>
    <row r="458" spans="11:14">
      <c r="K458" s="43"/>
      <c r="L458" s="43"/>
      <c r="M458" s="43"/>
      <c r="N458" s="43"/>
    </row>
    <row r="459" spans="11:14">
      <c r="K459" s="43"/>
      <c r="L459" s="43"/>
      <c r="M459" s="43"/>
      <c r="N459" s="43"/>
    </row>
    <row r="460" spans="11:14">
      <c r="K460" s="43"/>
      <c r="L460" s="43"/>
      <c r="M460" s="43"/>
      <c r="N460" s="43"/>
    </row>
    <row r="461" spans="11:14">
      <c r="K461" s="43"/>
      <c r="L461" s="43"/>
      <c r="M461" s="43"/>
      <c r="N461" s="43"/>
    </row>
    <row r="462" spans="11:14">
      <c r="K462" s="43"/>
      <c r="L462" s="43"/>
      <c r="M462" s="43"/>
      <c r="N462" s="43"/>
    </row>
    <row r="463" spans="11:14">
      <c r="K463" s="43"/>
      <c r="L463" s="43"/>
      <c r="M463" s="43"/>
      <c r="N463" s="43"/>
    </row>
    <row r="464" spans="11:14">
      <c r="K464" s="43"/>
      <c r="L464" s="43"/>
      <c r="M464" s="43"/>
      <c r="N464" s="43"/>
    </row>
    <row r="465" spans="11:14">
      <c r="K465" s="43"/>
      <c r="L465" s="43"/>
      <c r="M465" s="43"/>
      <c r="N465" s="43"/>
    </row>
    <row r="466" spans="11:14">
      <c r="K466" s="43"/>
      <c r="L466" s="43"/>
      <c r="M466" s="43"/>
      <c r="N466" s="43"/>
    </row>
    <row r="467" spans="11:14">
      <c r="K467" s="43"/>
      <c r="L467" s="43"/>
      <c r="M467" s="43"/>
      <c r="N467" s="43"/>
    </row>
    <row r="468" spans="11:14">
      <c r="K468" s="43"/>
      <c r="L468" s="43"/>
      <c r="M468" s="43"/>
      <c r="N468" s="43"/>
    </row>
    <row r="469" spans="11:14">
      <c r="K469" s="43"/>
      <c r="L469" s="43"/>
      <c r="M469" s="43"/>
      <c r="N469" s="43"/>
    </row>
    <row r="470" spans="11:14">
      <c r="K470" s="43"/>
      <c r="L470" s="43"/>
      <c r="M470" s="43"/>
      <c r="N470" s="43"/>
    </row>
    <row r="471" spans="11:14">
      <c r="K471" s="43"/>
      <c r="L471" s="43"/>
      <c r="M471" s="43"/>
      <c r="N471" s="43"/>
    </row>
    <row r="472" spans="11:14">
      <c r="K472" s="43"/>
      <c r="L472" s="43"/>
      <c r="M472" s="43"/>
      <c r="N472" s="43"/>
    </row>
    <row r="473" spans="11:14">
      <c r="K473" s="43"/>
      <c r="L473" s="43"/>
      <c r="M473" s="43"/>
      <c r="N473" s="43"/>
    </row>
    <row r="474" spans="11:14">
      <c r="K474" s="43"/>
      <c r="L474" s="43"/>
      <c r="M474" s="43"/>
      <c r="N474" s="43"/>
    </row>
    <row r="475" spans="11:14">
      <c r="K475" s="43"/>
      <c r="L475" s="43"/>
      <c r="M475" s="43"/>
      <c r="N475" s="43"/>
    </row>
    <row r="476" spans="11:14">
      <c r="K476" s="43"/>
      <c r="L476" s="43"/>
      <c r="M476" s="43"/>
      <c r="N476" s="43"/>
    </row>
    <row r="477" spans="11:14">
      <c r="K477" s="43"/>
      <c r="L477" s="43"/>
      <c r="M477" s="43"/>
      <c r="N477" s="43"/>
    </row>
    <row r="478" spans="11:14">
      <c r="K478" s="43"/>
      <c r="L478" s="43"/>
      <c r="M478" s="43"/>
      <c r="N478" s="43"/>
    </row>
    <row r="479" spans="11:14">
      <c r="K479" s="43"/>
      <c r="L479" s="43"/>
      <c r="M479" s="43"/>
      <c r="N479" s="43"/>
    </row>
    <row r="480" spans="11:14">
      <c r="K480" s="43"/>
      <c r="L480" s="43"/>
      <c r="M480" s="43"/>
      <c r="N480" s="43"/>
    </row>
    <row r="481" spans="11:14">
      <c r="K481" s="43"/>
      <c r="L481" s="43"/>
      <c r="M481" s="43"/>
      <c r="N481" s="43"/>
    </row>
    <row r="482" spans="11:14">
      <c r="K482" s="43"/>
      <c r="L482" s="43"/>
      <c r="M482" s="43"/>
      <c r="N482" s="43"/>
    </row>
    <row r="483" spans="11:14">
      <c r="K483" s="43"/>
      <c r="L483" s="43"/>
      <c r="M483" s="43"/>
      <c r="N483" s="43"/>
    </row>
    <row r="484" spans="11:14">
      <c r="K484" s="43"/>
      <c r="L484" s="43"/>
      <c r="M484" s="43"/>
      <c r="N484" s="43"/>
    </row>
    <row r="485" spans="11:14">
      <c r="K485" s="43"/>
      <c r="L485" s="43"/>
      <c r="M485" s="43"/>
      <c r="N485" s="43"/>
    </row>
    <row r="486" spans="11:14">
      <c r="K486" s="43"/>
      <c r="L486" s="43"/>
      <c r="M486" s="43"/>
      <c r="N486" s="43"/>
    </row>
    <row r="487" spans="11:14">
      <c r="K487" s="43"/>
      <c r="L487" s="43"/>
      <c r="M487" s="43"/>
      <c r="N487" s="43"/>
    </row>
    <row r="488" spans="11:14">
      <c r="K488" s="43"/>
      <c r="L488" s="43"/>
      <c r="M488" s="43"/>
      <c r="N488" s="43"/>
    </row>
    <row r="489" spans="11:14">
      <c r="K489" s="43"/>
      <c r="L489" s="43"/>
      <c r="M489" s="43"/>
      <c r="N489" s="43"/>
    </row>
    <row r="490" spans="11:14">
      <c r="K490" s="43"/>
      <c r="L490" s="43"/>
      <c r="M490" s="43"/>
      <c r="N490" s="43"/>
    </row>
    <row r="491" spans="11:14">
      <c r="K491" s="43"/>
      <c r="L491" s="43"/>
      <c r="M491" s="43"/>
      <c r="N491" s="43"/>
    </row>
    <row r="492" spans="11:14">
      <c r="K492" s="43"/>
      <c r="L492" s="43"/>
      <c r="M492" s="43"/>
      <c r="N492" s="43"/>
    </row>
    <row r="493" spans="11:14">
      <c r="K493" s="43"/>
      <c r="L493" s="43"/>
      <c r="M493" s="43"/>
      <c r="N493" s="43"/>
    </row>
    <row r="494" spans="11:14">
      <c r="K494" s="43"/>
      <c r="L494" s="43"/>
      <c r="M494" s="43"/>
      <c r="N494" s="43"/>
    </row>
    <row r="495" spans="11:14">
      <c r="K495" s="43"/>
      <c r="L495" s="43"/>
      <c r="M495" s="43"/>
      <c r="N495" s="43"/>
    </row>
    <row r="496" spans="11:14">
      <c r="K496" s="43"/>
      <c r="L496" s="43"/>
      <c r="M496" s="43"/>
      <c r="N496" s="43"/>
    </row>
    <row r="497" spans="11:14">
      <c r="K497" s="43"/>
      <c r="L497" s="43"/>
      <c r="M497" s="43"/>
      <c r="N497" s="43"/>
    </row>
    <row r="498" spans="11:14">
      <c r="K498" s="43"/>
      <c r="L498" s="43"/>
      <c r="M498" s="43"/>
      <c r="N498" s="43"/>
    </row>
    <row r="499" spans="11:14">
      <c r="K499" s="43"/>
      <c r="L499" s="43"/>
      <c r="M499" s="43"/>
      <c r="N499" s="43"/>
    </row>
    <row r="500" spans="11:14">
      <c r="K500" s="43"/>
      <c r="L500" s="43"/>
      <c r="M500" s="43"/>
      <c r="N500" s="43"/>
    </row>
    <row r="501" spans="11:14">
      <c r="K501" s="43"/>
      <c r="L501" s="43"/>
      <c r="M501" s="43"/>
      <c r="N501" s="43"/>
    </row>
    <row r="502" spans="11:14">
      <c r="K502" s="43"/>
      <c r="L502" s="43"/>
      <c r="M502" s="43"/>
      <c r="N502" s="43"/>
    </row>
    <row r="503" spans="11:14">
      <c r="K503" s="43"/>
      <c r="L503" s="43"/>
      <c r="M503" s="43"/>
      <c r="N503" s="43"/>
    </row>
    <row r="504" spans="11:14">
      <c r="K504" s="43"/>
      <c r="L504" s="43"/>
      <c r="M504" s="43"/>
      <c r="N504" s="43"/>
    </row>
    <row r="505" spans="11:14">
      <c r="K505" s="43"/>
      <c r="L505" s="43"/>
      <c r="M505" s="43"/>
      <c r="N505" s="43"/>
    </row>
    <row r="506" spans="11:14">
      <c r="K506" s="43"/>
      <c r="L506" s="43"/>
      <c r="M506" s="43"/>
      <c r="N506" s="43"/>
    </row>
    <row r="507" spans="11:14">
      <c r="K507" s="43"/>
      <c r="L507" s="43"/>
      <c r="M507" s="43"/>
      <c r="N507" s="43"/>
    </row>
    <row r="508" spans="11:14">
      <c r="K508" s="43"/>
      <c r="L508" s="43"/>
      <c r="M508" s="43"/>
      <c r="N508" s="43"/>
    </row>
    <row r="509" spans="11:14">
      <c r="K509" s="43"/>
      <c r="L509" s="43"/>
      <c r="M509" s="43"/>
      <c r="N509" s="43"/>
    </row>
    <row r="510" spans="11:14">
      <c r="K510" s="43"/>
      <c r="L510" s="43"/>
      <c r="M510" s="43"/>
      <c r="N510" s="43"/>
    </row>
    <row r="511" spans="11:14">
      <c r="K511" s="43"/>
      <c r="L511" s="43"/>
      <c r="M511" s="43"/>
      <c r="N511" s="43"/>
    </row>
    <row r="512" spans="11:14">
      <c r="K512" s="43"/>
      <c r="L512" s="43"/>
      <c r="M512" s="43"/>
      <c r="N512" s="43"/>
    </row>
    <row r="513" spans="11:14">
      <c r="K513" s="43"/>
      <c r="L513" s="43"/>
      <c r="M513" s="43"/>
      <c r="N513" s="43"/>
    </row>
    <row r="514" spans="11:14">
      <c r="K514" s="43"/>
      <c r="L514" s="43"/>
      <c r="M514" s="43"/>
      <c r="N514" s="43"/>
    </row>
    <row r="515" spans="11:14">
      <c r="K515" s="43"/>
      <c r="L515" s="43"/>
      <c r="M515" s="43"/>
      <c r="N515" s="43"/>
    </row>
    <row r="516" spans="11:14">
      <c r="K516" s="43"/>
      <c r="L516" s="43"/>
      <c r="M516" s="43"/>
      <c r="N516" s="43"/>
    </row>
    <row r="517" spans="11:14">
      <c r="K517" s="43"/>
      <c r="L517" s="43"/>
      <c r="M517" s="43"/>
      <c r="N517" s="43"/>
    </row>
    <row r="518" spans="11:14">
      <c r="K518" s="43"/>
      <c r="L518" s="43"/>
      <c r="M518" s="43"/>
      <c r="N518" s="43"/>
    </row>
    <row r="519" spans="11:14">
      <c r="K519" s="43"/>
      <c r="L519" s="43"/>
      <c r="M519" s="43"/>
      <c r="N519" s="43"/>
    </row>
    <row r="520" spans="11:14">
      <c r="K520" s="43"/>
      <c r="L520" s="43"/>
      <c r="M520" s="43"/>
      <c r="N520" s="43"/>
    </row>
    <row r="521" spans="11:14">
      <c r="K521" s="43"/>
      <c r="L521" s="43"/>
      <c r="M521" s="43"/>
      <c r="N521" s="43"/>
    </row>
    <row r="522" spans="11:14">
      <c r="K522" s="43"/>
      <c r="L522" s="43"/>
      <c r="M522" s="43"/>
      <c r="N522" s="43"/>
    </row>
    <row r="523" spans="11:14">
      <c r="K523" s="43"/>
      <c r="L523" s="43"/>
      <c r="M523" s="43"/>
      <c r="N523" s="43"/>
    </row>
    <row r="524" spans="11:14">
      <c r="K524" s="43"/>
      <c r="L524" s="43"/>
      <c r="M524" s="43"/>
      <c r="N524" s="43"/>
    </row>
    <row r="525" spans="11:14">
      <c r="K525" s="43"/>
      <c r="L525" s="43"/>
      <c r="M525" s="43"/>
      <c r="N525" s="43"/>
    </row>
    <row r="526" spans="11:14">
      <c r="K526" s="43"/>
      <c r="L526" s="43"/>
      <c r="M526" s="43"/>
      <c r="N526" s="43"/>
    </row>
    <row r="527" spans="11:14">
      <c r="K527" s="43"/>
      <c r="L527" s="43"/>
      <c r="M527" s="43"/>
      <c r="N527" s="43"/>
    </row>
    <row r="528" spans="11:14">
      <c r="K528" s="43"/>
      <c r="L528" s="43"/>
      <c r="M528" s="43"/>
      <c r="N528" s="43"/>
    </row>
    <row r="529" spans="11:14">
      <c r="K529" s="43"/>
      <c r="L529" s="43"/>
      <c r="M529" s="43"/>
      <c r="N529" s="43"/>
    </row>
    <row r="530" spans="11:14">
      <c r="K530" s="43"/>
      <c r="L530" s="43"/>
      <c r="M530" s="43"/>
      <c r="N530" s="43"/>
    </row>
    <row r="531" spans="11:14">
      <c r="K531" s="43"/>
      <c r="L531" s="43"/>
      <c r="M531" s="43"/>
      <c r="N531" s="43"/>
    </row>
    <row r="532" spans="11:14">
      <c r="K532" s="43"/>
      <c r="L532" s="43"/>
      <c r="M532" s="43"/>
      <c r="N532" s="43"/>
    </row>
    <row r="533" spans="11:14">
      <c r="K533" s="43"/>
      <c r="L533" s="43"/>
      <c r="M533" s="43"/>
      <c r="N533" s="43"/>
    </row>
    <row r="534" spans="11:14">
      <c r="K534" s="43"/>
      <c r="L534" s="43"/>
      <c r="M534" s="43"/>
      <c r="N534" s="43"/>
    </row>
    <row r="535" spans="11:14">
      <c r="K535" s="43"/>
      <c r="L535" s="43"/>
      <c r="M535" s="43"/>
      <c r="N535" s="43"/>
    </row>
    <row r="536" spans="11:14">
      <c r="K536" s="43"/>
      <c r="L536" s="43"/>
      <c r="M536" s="43"/>
      <c r="N536" s="43"/>
    </row>
    <row r="537" spans="11:14">
      <c r="K537" s="43"/>
      <c r="L537" s="43"/>
      <c r="M537" s="43"/>
      <c r="N537" s="43"/>
    </row>
    <row r="538" spans="11:14">
      <c r="K538" s="43"/>
      <c r="L538" s="43"/>
      <c r="M538" s="43"/>
      <c r="N538" s="43"/>
    </row>
    <row r="539" spans="11:14">
      <c r="K539" s="43"/>
      <c r="L539" s="43"/>
      <c r="M539" s="43"/>
      <c r="N539" s="43"/>
    </row>
    <row r="540" spans="11:14">
      <c r="K540" s="43"/>
      <c r="L540" s="43"/>
      <c r="M540" s="43"/>
      <c r="N540" s="43"/>
    </row>
    <row r="541" spans="11:14">
      <c r="K541" s="43"/>
      <c r="L541" s="43"/>
      <c r="M541" s="43"/>
      <c r="N541" s="43"/>
    </row>
    <row r="542" spans="11:14">
      <c r="K542" s="43"/>
      <c r="L542" s="43"/>
      <c r="M542" s="43"/>
      <c r="N542" s="43"/>
    </row>
    <row r="543" spans="11:14">
      <c r="K543" s="43"/>
      <c r="L543" s="43"/>
      <c r="M543" s="43"/>
      <c r="N543" s="43"/>
    </row>
    <row r="544" spans="11:14">
      <c r="K544" s="43"/>
      <c r="L544" s="43"/>
      <c r="M544" s="43"/>
      <c r="N544" s="43"/>
    </row>
    <row r="545" spans="11:14">
      <c r="K545" s="43"/>
      <c r="L545" s="43"/>
      <c r="M545" s="43"/>
      <c r="N545" s="43"/>
    </row>
    <row r="546" spans="11:14">
      <c r="K546" s="43"/>
      <c r="L546" s="43"/>
      <c r="M546" s="43"/>
      <c r="N546" s="43"/>
    </row>
    <row r="547" spans="11:14">
      <c r="K547" s="43"/>
      <c r="L547" s="43"/>
      <c r="M547" s="43"/>
      <c r="N547" s="43"/>
    </row>
    <row r="548" spans="11:14">
      <c r="K548" s="43"/>
      <c r="L548" s="43"/>
      <c r="M548" s="43"/>
      <c r="N548" s="43"/>
    </row>
    <row r="549" spans="11:14">
      <c r="K549" s="43"/>
      <c r="L549" s="43"/>
      <c r="M549" s="43"/>
      <c r="N549" s="43"/>
    </row>
    <row r="550" spans="11:14">
      <c r="K550" s="43"/>
      <c r="L550" s="43"/>
      <c r="M550" s="43"/>
      <c r="N550" s="43"/>
    </row>
    <row r="551" spans="11:14">
      <c r="K551" s="43"/>
      <c r="L551" s="43"/>
      <c r="M551" s="43"/>
      <c r="N551" s="43"/>
    </row>
    <row r="552" spans="11:14">
      <c r="K552" s="43"/>
      <c r="L552" s="43"/>
      <c r="M552" s="43"/>
      <c r="N552" s="43"/>
    </row>
    <row r="553" spans="11:14">
      <c r="K553" s="43"/>
      <c r="L553" s="43"/>
      <c r="M553" s="43"/>
      <c r="N553" s="43"/>
    </row>
    <row r="554" spans="11:14">
      <c r="K554" s="43"/>
      <c r="L554" s="43"/>
      <c r="M554" s="43"/>
      <c r="N554" s="43"/>
    </row>
    <row r="555" spans="11:14">
      <c r="K555" s="43"/>
      <c r="L555" s="43"/>
      <c r="M555" s="43"/>
      <c r="N555" s="43"/>
    </row>
    <row r="556" spans="11:14">
      <c r="K556" s="43"/>
      <c r="L556" s="43"/>
      <c r="M556" s="43"/>
      <c r="N556" s="43"/>
    </row>
    <row r="557" spans="11:14">
      <c r="K557" s="43"/>
      <c r="L557" s="43"/>
      <c r="M557" s="43"/>
      <c r="N557" s="43"/>
    </row>
    <row r="558" spans="11:14">
      <c r="K558" s="43"/>
      <c r="L558" s="43"/>
      <c r="M558" s="43"/>
      <c r="N558" s="43"/>
    </row>
    <row r="559" spans="11:14">
      <c r="K559" s="43"/>
      <c r="L559" s="43"/>
      <c r="M559" s="43"/>
      <c r="N559" s="43"/>
    </row>
    <row r="560" spans="11:14">
      <c r="K560" s="43"/>
      <c r="L560" s="43"/>
      <c r="M560" s="43"/>
      <c r="N560" s="43"/>
    </row>
    <row r="561" spans="11:14">
      <c r="K561" s="43"/>
      <c r="L561" s="43"/>
      <c r="M561" s="43"/>
      <c r="N561" s="43"/>
    </row>
    <row r="562" spans="11:14">
      <c r="K562" s="43"/>
      <c r="L562" s="43"/>
      <c r="M562" s="43"/>
      <c r="N562" s="43"/>
    </row>
    <row r="563" spans="11:14">
      <c r="K563" s="43"/>
      <c r="L563" s="43"/>
      <c r="M563" s="43"/>
      <c r="N563" s="43"/>
    </row>
    <row r="564" spans="11:14">
      <c r="K564" s="43"/>
      <c r="L564" s="43"/>
      <c r="M564" s="43"/>
      <c r="N564" s="43"/>
    </row>
    <row r="565" spans="11:14">
      <c r="K565" s="43"/>
      <c r="L565" s="43"/>
      <c r="M565" s="43"/>
      <c r="N565" s="43"/>
    </row>
    <row r="566" spans="11:14">
      <c r="K566" s="43"/>
      <c r="L566" s="43"/>
      <c r="M566" s="43"/>
      <c r="N566" s="43"/>
    </row>
    <row r="567" spans="11:14">
      <c r="K567" s="43"/>
      <c r="L567" s="43"/>
      <c r="M567" s="43"/>
      <c r="N567" s="43"/>
    </row>
    <row r="568" spans="11:14">
      <c r="K568" s="43"/>
      <c r="L568" s="43"/>
      <c r="M568" s="43"/>
      <c r="N568" s="43"/>
    </row>
    <row r="569" spans="11:14">
      <c r="K569" s="43"/>
      <c r="L569" s="43"/>
      <c r="M569" s="43"/>
      <c r="N569" s="43"/>
    </row>
    <row r="570" spans="11:14">
      <c r="K570" s="43"/>
      <c r="L570" s="43"/>
      <c r="M570" s="43"/>
      <c r="N570" s="43"/>
    </row>
    <row r="571" spans="11:14">
      <c r="K571" s="43"/>
      <c r="L571" s="43"/>
      <c r="M571" s="43"/>
      <c r="N571" s="43"/>
    </row>
    <row r="572" spans="11:14">
      <c r="K572" s="43"/>
      <c r="L572" s="43"/>
      <c r="M572" s="43"/>
      <c r="N572" s="43"/>
    </row>
    <row r="573" spans="11:14">
      <c r="K573" s="43"/>
      <c r="L573" s="43"/>
      <c r="M573" s="43"/>
      <c r="N573" s="43"/>
    </row>
    <row r="574" spans="11:14">
      <c r="K574" s="43"/>
      <c r="L574" s="43"/>
      <c r="M574" s="43"/>
      <c r="N574" s="43"/>
    </row>
    <row r="575" spans="11:14">
      <c r="K575" s="43"/>
      <c r="L575" s="43"/>
      <c r="M575" s="43"/>
      <c r="N575" s="43"/>
    </row>
    <row r="576" spans="11:14">
      <c r="K576" s="43"/>
      <c r="L576" s="43"/>
      <c r="M576" s="43"/>
      <c r="N576" s="43"/>
    </row>
    <row r="577" spans="11:14">
      <c r="K577" s="43"/>
      <c r="L577" s="43"/>
      <c r="M577" s="43"/>
      <c r="N577" s="43"/>
    </row>
    <row r="578" spans="11:14">
      <c r="K578" s="43"/>
      <c r="L578" s="43"/>
      <c r="M578" s="43"/>
      <c r="N578" s="43"/>
    </row>
    <row r="579" spans="11:14">
      <c r="K579" s="43"/>
      <c r="L579" s="43"/>
      <c r="M579" s="43"/>
      <c r="N579" s="43"/>
    </row>
    <row r="580" spans="11:14">
      <c r="K580" s="43"/>
      <c r="L580" s="43"/>
      <c r="M580" s="43"/>
      <c r="N580" s="43"/>
    </row>
    <row r="581" spans="11:14">
      <c r="K581" s="43"/>
      <c r="L581" s="43"/>
      <c r="M581" s="43"/>
      <c r="N581" s="43"/>
    </row>
    <row r="582" spans="11:14">
      <c r="K582" s="43"/>
      <c r="L582" s="43"/>
      <c r="M582" s="43"/>
      <c r="N582" s="43"/>
    </row>
    <row r="583" spans="11:14">
      <c r="K583" s="43"/>
      <c r="L583" s="43"/>
      <c r="M583" s="43"/>
      <c r="N583" s="43"/>
    </row>
    <row r="584" spans="11:14">
      <c r="K584" s="43"/>
      <c r="L584" s="43"/>
      <c r="M584" s="43"/>
      <c r="N584" s="43"/>
    </row>
    <row r="585" spans="11:14">
      <c r="K585" s="43"/>
      <c r="L585" s="43"/>
      <c r="M585" s="43"/>
      <c r="N585" s="43"/>
    </row>
    <row r="586" spans="11:14">
      <c r="K586" s="43"/>
      <c r="L586" s="43"/>
      <c r="M586" s="43"/>
      <c r="N586" s="43"/>
    </row>
    <row r="587" spans="11:14">
      <c r="K587" s="43"/>
      <c r="L587" s="43"/>
      <c r="M587" s="43"/>
      <c r="N587" s="43"/>
    </row>
    <row r="588" spans="11:14">
      <c r="K588" s="43"/>
      <c r="L588" s="43"/>
      <c r="M588" s="43"/>
      <c r="N588" s="43"/>
    </row>
    <row r="589" spans="11:14">
      <c r="K589" s="43"/>
      <c r="L589" s="43"/>
      <c r="M589" s="43"/>
      <c r="N589" s="43"/>
    </row>
    <row r="590" spans="11:14">
      <c r="K590" s="43"/>
      <c r="L590" s="43"/>
      <c r="M590" s="43"/>
      <c r="N590" s="43"/>
    </row>
    <row r="591" spans="11:14">
      <c r="K591" s="43"/>
      <c r="L591" s="43"/>
      <c r="M591" s="43"/>
      <c r="N591" s="43"/>
    </row>
    <row r="592" spans="11:14">
      <c r="K592" s="43"/>
      <c r="L592" s="43"/>
      <c r="M592" s="43"/>
      <c r="N592" s="43"/>
    </row>
    <row r="593" spans="11:14">
      <c r="K593" s="43"/>
      <c r="L593" s="43"/>
      <c r="M593" s="43"/>
      <c r="N593" s="43"/>
    </row>
    <row r="594" spans="11:14">
      <c r="K594" s="43"/>
      <c r="L594" s="43"/>
      <c r="M594" s="43"/>
      <c r="N594" s="43"/>
    </row>
    <row r="595" spans="11:14">
      <c r="K595" s="43"/>
      <c r="L595" s="43"/>
      <c r="M595" s="43"/>
      <c r="N595" s="43"/>
    </row>
    <row r="596" spans="11:14">
      <c r="K596" s="43"/>
      <c r="L596" s="43"/>
      <c r="M596" s="43"/>
      <c r="N596" s="43"/>
    </row>
    <row r="597" spans="11:14">
      <c r="K597" s="43"/>
      <c r="L597" s="43"/>
      <c r="M597" s="43"/>
      <c r="N597" s="43"/>
    </row>
    <row r="598" spans="11:14">
      <c r="K598" s="43"/>
      <c r="L598" s="43"/>
      <c r="M598" s="43"/>
      <c r="N598" s="43"/>
    </row>
    <row r="599" spans="11:14">
      <c r="K599" s="43"/>
      <c r="L599" s="43"/>
      <c r="M599" s="43"/>
      <c r="N599" s="43"/>
    </row>
    <row r="600" spans="11:14">
      <c r="K600" s="43"/>
      <c r="L600" s="43"/>
      <c r="M600" s="43"/>
      <c r="N600" s="43"/>
    </row>
    <row r="601" spans="11:14">
      <c r="K601" s="43"/>
      <c r="L601" s="43"/>
      <c r="M601" s="43"/>
      <c r="N601" s="43"/>
    </row>
    <row r="602" spans="11:14">
      <c r="K602" s="43"/>
      <c r="L602" s="43"/>
      <c r="M602" s="43"/>
      <c r="N602" s="43"/>
    </row>
    <row r="603" spans="11:14">
      <c r="K603" s="43"/>
      <c r="L603" s="43"/>
      <c r="M603" s="43"/>
      <c r="N603" s="43"/>
    </row>
    <row r="604" spans="11:14">
      <c r="K604" s="43"/>
      <c r="L604" s="43"/>
      <c r="M604" s="43"/>
      <c r="N604" s="43"/>
    </row>
    <row r="605" spans="11:14">
      <c r="K605" s="43"/>
      <c r="L605" s="43"/>
      <c r="M605" s="43"/>
      <c r="N605" s="43"/>
    </row>
    <row r="606" spans="11:14">
      <c r="K606" s="43"/>
      <c r="L606" s="43"/>
      <c r="M606" s="43"/>
      <c r="N606" s="43"/>
    </row>
    <row r="607" spans="11:14">
      <c r="K607" s="43"/>
      <c r="L607" s="43"/>
      <c r="M607" s="43"/>
      <c r="N607" s="43"/>
    </row>
    <row r="608" spans="11:14">
      <c r="K608" s="43"/>
      <c r="L608" s="43"/>
      <c r="M608" s="43"/>
      <c r="N608" s="43"/>
    </row>
    <row r="609" spans="11:14">
      <c r="K609" s="43"/>
      <c r="L609" s="43"/>
      <c r="M609" s="43"/>
      <c r="N609" s="43"/>
    </row>
    <row r="610" spans="11:14">
      <c r="K610" s="43"/>
      <c r="L610" s="43"/>
      <c r="M610" s="43"/>
      <c r="N610" s="43"/>
    </row>
    <row r="611" spans="11:14">
      <c r="K611" s="43"/>
      <c r="L611" s="43"/>
      <c r="M611" s="43"/>
      <c r="N611" s="43"/>
    </row>
    <row r="612" spans="11:14">
      <c r="K612" s="43"/>
      <c r="L612" s="43"/>
      <c r="M612" s="43"/>
      <c r="N612" s="43"/>
    </row>
    <row r="613" spans="11:14">
      <c r="K613" s="43"/>
      <c r="L613" s="43"/>
      <c r="M613" s="43"/>
      <c r="N613" s="43"/>
    </row>
    <row r="614" spans="11:14">
      <c r="K614" s="43"/>
      <c r="L614" s="43"/>
      <c r="M614" s="43"/>
      <c r="N614" s="43"/>
    </row>
    <row r="615" spans="11:14">
      <c r="K615" s="43"/>
      <c r="L615" s="43"/>
      <c r="M615" s="43"/>
      <c r="N615" s="43"/>
    </row>
    <row r="616" spans="11:14">
      <c r="K616" s="43"/>
      <c r="L616" s="43"/>
      <c r="M616" s="43"/>
      <c r="N616" s="43"/>
    </row>
    <row r="617" spans="11:14">
      <c r="K617" s="43"/>
      <c r="L617" s="43"/>
      <c r="M617" s="43"/>
      <c r="N617" s="43"/>
    </row>
    <row r="618" spans="11:14">
      <c r="K618" s="43"/>
      <c r="L618" s="43"/>
      <c r="M618" s="43"/>
      <c r="N618" s="43"/>
    </row>
    <row r="619" spans="11:14">
      <c r="K619" s="43"/>
      <c r="L619" s="43"/>
      <c r="M619" s="43"/>
      <c r="N619" s="43"/>
    </row>
    <row r="620" spans="11:14">
      <c r="K620" s="43"/>
      <c r="L620" s="43"/>
      <c r="M620" s="43"/>
      <c r="N620" s="43"/>
    </row>
    <row r="621" spans="11:14">
      <c r="K621" s="43"/>
      <c r="L621" s="43"/>
      <c r="M621" s="43"/>
      <c r="N621" s="43"/>
    </row>
    <row r="622" spans="11:14">
      <c r="K622" s="43"/>
      <c r="L622" s="43"/>
      <c r="M622" s="43"/>
      <c r="N622" s="43"/>
    </row>
    <row r="623" spans="11:14">
      <c r="K623" s="43"/>
      <c r="L623" s="43"/>
      <c r="M623" s="43"/>
      <c r="N623" s="43"/>
    </row>
    <row r="624" spans="11:14">
      <c r="K624" s="43"/>
      <c r="L624" s="43"/>
      <c r="M624" s="43"/>
      <c r="N624" s="43"/>
    </row>
    <row r="625" spans="11:14">
      <c r="K625" s="43"/>
      <c r="L625" s="43"/>
      <c r="M625" s="43"/>
      <c r="N625" s="43"/>
    </row>
    <row r="626" spans="11:14">
      <c r="K626" s="43"/>
      <c r="L626" s="43"/>
      <c r="M626" s="43"/>
      <c r="N626" s="43"/>
    </row>
    <row r="627" spans="11:14">
      <c r="K627" s="43"/>
      <c r="L627" s="43"/>
      <c r="M627" s="43"/>
      <c r="N627" s="43"/>
    </row>
    <row r="628" spans="11:14">
      <c r="K628" s="43"/>
      <c r="L628" s="43"/>
      <c r="M628" s="43"/>
      <c r="N628" s="43"/>
    </row>
    <row r="629" spans="11:14">
      <c r="K629" s="43"/>
      <c r="L629" s="43"/>
      <c r="M629" s="43"/>
      <c r="N629" s="43"/>
    </row>
    <row r="630" spans="11:14">
      <c r="K630" s="43"/>
      <c r="L630" s="43"/>
      <c r="M630" s="43"/>
      <c r="N630" s="43"/>
    </row>
    <row r="631" spans="11:14">
      <c r="K631" s="43"/>
      <c r="L631" s="43"/>
      <c r="M631" s="43"/>
      <c r="N631" s="43"/>
    </row>
    <row r="632" spans="11:14">
      <c r="K632" s="43"/>
      <c r="L632" s="43"/>
      <c r="M632" s="43"/>
      <c r="N632" s="43"/>
    </row>
    <row r="633" spans="11:14">
      <c r="K633" s="43"/>
      <c r="L633" s="43"/>
      <c r="M633" s="43"/>
      <c r="N633" s="43"/>
    </row>
    <row r="634" spans="11:14">
      <c r="K634" s="43"/>
      <c r="L634" s="43"/>
      <c r="M634" s="43"/>
      <c r="N634" s="43"/>
    </row>
    <row r="635" spans="11:14">
      <c r="K635" s="43"/>
      <c r="L635" s="43"/>
      <c r="M635" s="43"/>
      <c r="N635" s="43"/>
    </row>
    <row r="636" spans="11:14">
      <c r="K636" s="43"/>
      <c r="L636" s="43"/>
      <c r="M636" s="43"/>
      <c r="N636" s="43"/>
    </row>
    <row r="637" spans="11:14">
      <c r="K637" s="43"/>
      <c r="L637" s="43"/>
      <c r="M637" s="43"/>
      <c r="N637" s="43"/>
    </row>
    <row r="638" spans="11:14">
      <c r="K638" s="43"/>
      <c r="L638" s="43"/>
      <c r="M638" s="43"/>
      <c r="N638" s="43"/>
    </row>
    <row r="639" spans="11:14">
      <c r="K639" s="43"/>
      <c r="L639" s="43"/>
      <c r="M639" s="43"/>
      <c r="N639" s="43"/>
    </row>
    <row r="640" spans="11:14">
      <c r="K640" s="43"/>
      <c r="L640" s="43"/>
      <c r="M640" s="43"/>
      <c r="N640" s="43"/>
    </row>
    <row r="641" spans="11:14">
      <c r="K641" s="43"/>
      <c r="L641" s="43"/>
      <c r="M641" s="43"/>
      <c r="N641" s="43"/>
    </row>
    <row r="642" spans="11:14">
      <c r="K642" s="43"/>
      <c r="L642" s="43"/>
      <c r="M642" s="43"/>
      <c r="N642" s="43"/>
    </row>
    <row r="643" spans="11:14">
      <c r="K643" s="43"/>
      <c r="L643" s="43"/>
      <c r="M643" s="43"/>
      <c r="N643" s="43"/>
    </row>
    <row r="644" spans="11:14">
      <c r="K644" s="43"/>
      <c r="L644" s="43"/>
      <c r="M644" s="43"/>
      <c r="N644" s="43"/>
    </row>
    <row r="645" spans="11:14">
      <c r="K645" s="43"/>
      <c r="L645" s="43"/>
      <c r="M645" s="43"/>
      <c r="N645" s="43"/>
    </row>
    <row r="646" spans="11:14">
      <c r="K646" s="43"/>
      <c r="L646" s="43"/>
      <c r="M646" s="43"/>
      <c r="N646" s="43"/>
    </row>
    <row r="647" spans="11:14">
      <c r="K647" s="43"/>
      <c r="L647" s="43"/>
      <c r="M647" s="43"/>
      <c r="N647" s="43"/>
    </row>
    <row r="648" spans="11:14">
      <c r="K648" s="43"/>
      <c r="L648" s="43"/>
      <c r="M648" s="43"/>
      <c r="N648" s="43"/>
    </row>
    <row r="649" spans="11:14">
      <c r="K649" s="43"/>
      <c r="L649" s="43"/>
      <c r="M649" s="43"/>
      <c r="N649" s="43"/>
    </row>
    <row r="650" spans="11:14">
      <c r="K650" s="43"/>
      <c r="L650" s="43"/>
      <c r="M650" s="43"/>
      <c r="N650" s="43"/>
    </row>
    <row r="651" spans="11:14">
      <c r="K651" s="43"/>
      <c r="L651" s="43"/>
      <c r="M651" s="43"/>
      <c r="N651" s="43"/>
    </row>
    <row r="652" spans="11:14">
      <c r="K652" s="43"/>
      <c r="L652" s="43"/>
      <c r="M652" s="43"/>
      <c r="N652" s="43"/>
    </row>
    <row r="653" spans="11:14">
      <c r="K653" s="43"/>
      <c r="L653" s="43"/>
      <c r="M653" s="43"/>
      <c r="N653" s="43"/>
    </row>
    <row r="654" spans="11:14">
      <c r="K654" s="43"/>
      <c r="L654" s="43"/>
      <c r="M654" s="43"/>
      <c r="N654" s="43"/>
    </row>
    <row r="655" spans="11:14">
      <c r="K655" s="43"/>
      <c r="L655" s="43"/>
      <c r="M655" s="43"/>
      <c r="N655" s="43"/>
    </row>
    <row r="656" spans="11:14">
      <c r="K656" s="43"/>
      <c r="L656" s="43"/>
      <c r="M656" s="43"/>
      <c r="N656" s="43"/>
    </row>
    <row r="657" spans="11:14">
      <c r="K657" s="43"/>
      <c r="L657" s="43"/>
      <c r="M657" s="43"/>
      <c r="N657" s="43"/>
    </row>
    <row r="658" spans="11:14">
      <c r="K658" s="43"/>
      <c r="L658" s="43"/>
      <c r="M658" s="43"/>
      <c r="N658" s="43"/>
    </row>
    <row r="659" spans="11:14">
      <c r="K659" s="43"/>
      <c r="L659" s="43"/>
      <c r="M659" s="43"/>
      <c r="N659" s="43"/>
    </row>
    <row r="660" spans="11:14">
      <c r="K660" s="43"/>
      <c r="L660" s="43"/>
      <c r="M660" s="43"/>
      <c r="N660" s="43"/>
    </row>
    <row r="661" spans="11:14">
      <c r="K661" s="43"/>
      <c r="L661" s="43"/>
      <c r="M661" s="43"/>
      <c r="N661" s="43"/>
    </row>
    <row r="662" spans="11:14">
      <c r="K662" s="43"/>
      <c r="L662" s="43"/>
      <c r="M662" s="43"/>
      <c r="N662" s="43"/>
    </row>
    <row r="663" spans="11:14">
      <c r="K663" s="43"/>
      <c r="L663" s="43"/>
      <c r="M663" s="43"/>
      <c r="N663" s="43"/>
    </row>
    <row r="664" spans="11:14">
      <c r="K664" s="43"/>
      <c r="L664" s="43"/>
      <c r="M664" s="43"/>
      <c r="N664" s="43"/>
    </row>
    <row r="665" spans="11:14">
      <c r="K665" s="43"/>
      <c r="L665" s="43"/>
      <c r="M665" s="43"/>
      <c r="N665" s="43"/>
    </row>
    <row r="666" spans="11:14">
      <c r="K666" s="43"/>
      <c r="L666" s="43"/>
      <c r="M666" s="43"/>
      <c r="N666" s="43"/>
    </row>
    <row r="667" spans="11:14">
      <c r="K667" s="43"/>
      <c r="L667" s="43"/>
      <c r="M667" s="43"/>
      <c r="N667" s="43"/>
    </row>
    <row r="668" spans="11:14">
      <c r="K668" s="43"/>
      <c r="L668" s="43"/>
      <c r="M668" s="43"/>
      <c r="N668" s="43"/>
    </row>
    <row r="669" spans="11:14">
      <c r="K669" s="43"/>
      <c r="L669" s="43"/>
      <c r="M669" s="43"/>
      <c r="N669" s="43"/>
    </row>
    <row r="670" spans="11:14">
      <c r="K670" s="43"/>
      <c r="L670" s="43"/>
      <c r="M670" s="43"/>
      <c r="N670" s="43"/>
    </row>
    <row r="671" spans="11:14">
      <c r="K671" s="43"/>
      <c r="L671" s="43"/>
      <c r="M671" s="43"/>
      <c r="N671" s="43"/>
    </row>
    <row r="672" spans="11:14">
      <c r="K672" s="43"/>
      <c r="L672" s="43"/>
      <c r="M672" s="43"/>
      <c r="N672" s="43"/>
    </row>
    <row r="673" spans="11:14">
      <c r="K673" s="43"/>
      <c r="L673" s="43"/>
      <c r="M673" s="43"/>
      <c r="N673" s="43"/>
    </row>
    <row r="674" spans="11:14">
      <c r="K674" s="43"/>
      <c r="L674" s="43"/>
      <c r="M674" s="43"/>
      <c r="N674" s="43"/>
    </row>
    <row r="675" spans="11:14">
      <c r="K675" s="43"/>
      <c r="L675" s="43"/>
      <c r="M675" s="43"/>
      <c r="N675" s="43"/>
    </row>
    <row r="676" spans="11:14">
      <c r="K676" s="43"/>
      <c r="L676" s="43"/>
      <c r="M676" s="43"/>
      <c r="N676" s="43"/>
    </row>
    <row r="677" spans="11:14">
      <c r="K677" s="43"/>
      <c r="L677" s="43"/>
      <c r="M677" s="43"/>
      <c r="N677" s="43"/>
    </row>
    <row r="678" spans="11:14">
      <c r="K678" s="43"/>
      <c r="L678" s="43"/>
      <c r="M678" s="43"/>
      <c r="N678" s="43"/>
    </row>
    <row r="679" spans="11:14">
      <c r="K679" s="43"/>
      <c r="L679" s="43"/>
      <c r="M679" s="43"/>
      <c r="N679" s="43"/>
    </row>
    <row r="680" spans="11:14">
      <c r="K680" s="43"/>
      <c r="L680" s="43"/>
      <c r="M680" s="43"/>
      <c r="N680" s="43"/>
    </row>
    <row r="681" spans="11:14">
      <c r="K681" s="43"/>
      <c r="L681" s="43"/>
      <c r="M681" s="43"/>
      <c r="N681" s="43"/>
    </row>
    <row r="682" spans="11:14">
      <c r="K682" s="43"/>
      <c r="L682" s="43"/>
      <c r="M682" s="43"/>
      <c r="N682" s="43"/>
    </row>
    <row r="683" spans="11:14">
      <c r="K683" s="43"/>
      <c r="L683" s="43"/>
      <c r="M683" s="43"/>
      <c r="N683" s="43"/>
    </row>
    <row r="684" spans="11:14">
      <c r="K684" s="43"/>
      <c r="L684" s="43"/>
      <c r="M684" s="43"/>
      <c r="N684" s="43"/>
    </row>
    <row r="685" spans="11:14">
      <c r="K685" s="43"/>
      <c r="L685" s="43"/>
      <c r="M685" s="43"/>
      <c r="N685" s="43"/>
    </row>
    <row r="686" spans="11:14">
      <c r="K686" s="43"/>
      <c r="L686" s="43"/>
      <c r="M686" s="43"/>
      <c r="N686" s="43"/>
    </row>
    <row r="687" spans="11:14">
      <c r="K687" s="43"/>
      <c r="L687" s="43"/>
      <c r="M687" s="43"/>
      <c r="N687" s="43"/>
    </row>
    <row r="688" spans="11:14">
      <c r="K688" s="43"/>
      <c r="L688" s="43"/>
      <c r="M688" s="43"/>
      <c r="N688" s="43"/>
    </row>
    <row r="689" spans="11:14">
      <c r="K689" s="43"/>
      <c r="L689" s="43"/>
      <c r="M689" s="43"/>
      <c r="N689" s="43"/>
    </row>
    <row r="690" spans="11:14">
      <c r="K690" s="43"/>
      <c r="L690" s="43"/>
      <c r="M690" s="43"/>
      <c r="N690" s="43"/>
    </row>
    <row r="691" spans="11:14">
      <c r="K691" s="43"/>
      <c r="L691" s="43"/>
      <c r="M691" s="43"/>
      <c r="N691" s="43"/>
    </row>
    <row r="692" spans="11:14">
      <c r="K692" s="43"/>
      <c r="L692" s="43"/>
      <c r="M692" s="43"/>
      <c r="N692" s="43"/>
    </row>
    <row r="693" spans="11:14">
      <c r="K693" s="43"/>
      <c r="L693" s="43"/>
      <c r="M693" s="43"/>
      <c r="N693" s="43"/>
    </row>
    <row r="694" spans="11:14">
      <c r="K694" s="43"/>
      <c r="L694" s="43"/>
      <c r="M694" s="43"/>
      <c r="N694" s="43"/>
    </row>
    <row r="695" spans="11:14">
      <c r="K695" s="43"/>
      <c r="L695" s="43"/>
      <c r="M695" s="43"/>
      <c r="N695" s="43"/>
    </row>
    <row r="696" spans="11:14">
      <c r="K696" s="43"/>
      <c r="L696" s="43"/>
      <c r="M696" s="43"/>
      <c r="N696" s="43"/>
    </row>
    <row r="697" spans="11:14">
      <c r="K697" s="43"/>
      <c r="L697" s="43"/>
      <c r="M697" s="43"/>
      <c r="N697" s="43"/>
    </row>
    <row r="698" spans="11:14">
      <c r="K698" s="43"/>
      <c r="L698" s="43"/>
      <c r="M698" s="43"/>
      <c r="N698" s="43"/>
    </row>
    <row r="699" spans="11:14">
      <c r="K699" s="43"/>
      <c r="L699" s="43"/>
      <c r="M699" s="43"/>
      <c r="N699" s="43"/>
    </row>
    <row r="700" spans="11:14">
      <c r="K700" s="43"/>
      <c r="L700" s="43"/>
      <c r="M700" s="43"/>
      <c r="N700" s="43"/>
    </row>
    <row r="701" spans="11:14">
      <c r="K701" s="43"/>
      <c r="L701" s="43"/>
      <c r="M701" s="43"/>
      <c r="N701" s="43"/>
    </row>
    <row r="702" spans="11:14">
      <c r="K702" s="43"/>
      <c r="L702" s="43"/>
      <c r="M702" s="43"/>
      <c r="N702" s="43"/>
    </row>
    <row r="703" spans="11:14">
      <c r="K703" s="43"/>
      <c r="L703" s="43"/>
      <c r="M703" s="43"/>
      <c r="N703" s="43"/>
    </row>
    <row r="704" spans="11:14">
      <c r="K704" s="43"/>
      <c r="L704" s="43"/>
      <c r="M704" s="43"/>
      <c r="N704" s="43"/>
    </row>
    <row r="705" spans="11:14">
      <c r="K705" s="43"/>
      <c r="L705" s="43"/>
      <c r="M705" s="43"/>
      <c r="N705" s="43"/>
    </row>
    <row r="706" spans="11:14">
      <c r="K706" s="43"/>
      <c r="L706" s="43"/>
      <c r="M706" s="43"/>
      <c r="N706" s="43"/>
    </row>
    <row r="707" spans="11:14">
      <c r="K707" s="43"/>
      <c r="L707" s="43"/>
      <c r="M707" s="43"/>
      <c r="N707" s="43"/>
    </row>
    <row r="708" spans="11:14">
      <c r="K708" s="43"/>
      <c r="L708" s="43"/>
      <c r="M708" s="43"/>
      <c r="N708" s="43"/>
    </row>
    <row r="709" spans="11:14">
      <c r="K709" s="43"/>
      <c r="L709" s="43"/>
      <c r="M709" s="43"/>
      <c r="N709" s="43"/>
    </row>
    <row r="710" spans="11:14">
      <c r="K710" s="43"/>
      <c r="L710" s="43"/>
      <c r="M710" s="43"/>
      <c r="N710" s="43"/>
    </row>
    <row r="711" spans="11:14">
      <c r="K711" s="43"/>
      <c r="L711" s="43"/>
      <c r="M711" s="43"/>
      <c r="N711" s="43"/>
    </row>
    <row r="712" spans="11:14">
      <c r="K712" s="43"/>
      <c r="L712" s="43"/>
      <c r="M712" s="43"/>
      <c r="N712" s="43"/>
    </row>
    <row r="713" spans="11:14">
      <c r="K713" s="43"/>
      <c r="L713" s="43"/>
      <c r="M713" s="43"/>
      <c r="N713" s="43"/>
    </row>
    <row r="714" spans="11:14">
      <c r="K714" s="43"/>
      <c r="L714" s="43"/>
      <c r="M714" s="43"/>
      <c r="N714" s="43"/>
    </row>
    <row r="715" spans="11:14">
      <c r="K715" s="43"/>
      <c r="L715" s="43"/>
      <c r="M715" s="43"/>
      <c r="N715" s="43"/>
    </row>
    <row r="716" spans="11:14">
      <c r="K716" s="43"/>
      <c r="L716" s="43"/>
      <c r="M716" s="43"/>
      <c r="N716" s="43"/>
    </row>
    <row r="717" spans="11:14">
      <c r="K717" s="43"/>
      <c r="L717" s="43"/>
      <c r="M717" s="43"/>
      <c r="N717" s="43"/>
    </row>
    <row r="718" spans="11:14">
      <c r="K718" s="43"/>
      <c r="L718" s="43"/>
      <c r="M718" s="43"/>
      <c r="N718" s="43"/>
    </row>
    <row r="719" spans="11:14">
      <c r="K719" s="43"/>
      <c r="L719" s="43"/>
      <c r="M719" s="43"/>
      <c r="N719" s="43"/>
    </row>
    <row r="720" spans="11:14">
      <c r="K720" s="43"/>
      <c r="L720" s="43"/>
      <c r="M720" s="43"/>
      <c r="N720" s="43"/>
    </row>
    <row r="721" spans="11:14">
      <c r="K721" s="43"/>
      <c r="L721" s="43"/>
      <c r="M721" s="43"/>
      <c r="N721" s="43"/>
    </row>
    <row r="722" spans="11:14">
      <c r="K722" s="43"/>
      <c r="L722" s="43"/>
      <c r="M722" s="43"/>
      <c r="N722" s="43"/>
    </row>
    <row r="723" spans="11:14">
      <c r="K723" s="43"/>
      <c r="L723" s="43"/>
      <c r="M723" s="43"/>
      <c r="N723" s="43"/>
    </row>
    <row r="724" spans="11:14">
      <c r="K724" s="43"/>
      <c r="L724" s="43"/>
      <c r="M724" s="43"/>
      <c r="N724" s="43"/>
    </row>
    <row r="725" spans="11:14">
      <c r="K725" s="43"/>
      <c r="L725" s="43"/>
      <c r="M725" s="43"/>
      <c r="N725" s="43"/>
    </row>
    <row r="726" spans="11:14">
      <c r="K726" s="43"/>
      <c r="L726" s="43"/>
      <c r="M726" s="43"/>
      <c r="N726" s="43"/>
    </row>
    <row r="727" spans="11:14">
      <c r="K727" s="43"/>
      <c r="L727" s="43"/>
      <c r="M727" s="43"/>
      <c r="N727" s="43"/>
    </row>
    <row r="728" spans="11:14">
      <c r="K728" s="43"/>
      <c r="L728" s="43"/>
      <c r="M728" s="43"/>
      <c r="N728" s="43"/>
    </row>
    <row r="729" spans="11:14">
      <c r="K729" s="43"/>
      <c r="L729" s="43"/>
      <c r="M729" s="43"/>
      <c r="N729" s="43"/>
    </row>
    <row r="730" spans="11:14">
      <c r="K730" s="43"/>
      <c r="L730" s="43"/>
      <c r="M730" s="43"/>
      <c r="N730" s="43"/>
    </row>
    <row r="731" spans="11:14">
      <c r="K731" s="43"/>
      <c r="L731" s="43"/>
      <c r="M731" s="43"/>
      <c r="N731" s="43"/>
    </row>
    <row r="732" spans="11:14">
      <c r="K732" s="43"/>
      <c r="L732" s="43"/>
      <c r="M732" s="43"/>
      <c r="N732" s="43"/>
    </row>
    <row r="733" spans="11:14">
      <c r="K733" s="43"/>
      <c r="L733" s="43"/>
      <c r="M733" s="43"/>
      <c r="N733" s="43"/>
    </row>
    <row r="734" spans="11:14">
      <c r="K734" s="43"/>
      <c r="L734" s="43"/>
      <c r="M734" s="43"/>
      <c r="N734" s="43"/>
    </row>
    <row r="735" spans="11:14">
      <c r="K735" s="43"/>
      <c r="L735" s="43"/>
      <c r="M735" s="43"/>
      <c r="N735" s="43"/>
    </row>
    <row r="736" spans="11:14">
      <c r="K736" s="43"/>
      <c r="L736" s="43"/>
      <c r="M736" s="43"/>
      <c r="N736" s="43"/>
    </row>
    <row r="737" spans="11:14">
      <c r="K737" s="43"/>
      <c r="L737" s="43"/>
      <c r="M737" s="43"/>
      <c r="N737" s="43"/>
    </row>
    <row r="738" spans="11:14">
      <c r="K738" s="43"/>
      <c r="L738" s="43"/>
      <c r="M738" s="43"/>
      <c r="N738" s="43"/>
    </row>
    <row r="739" spans="11:14">
      <c r="K739" s="43"/>
      <c r="L739" s="43"/>
      <c r="M739" s="43"/>
      <c r="N739" s="43"/>
    </row>
    <row r="740" spans="11:14">
      <c r="K740" s="43"/>
      <c r="L740" s="43"/>
      <c r="M740" s="43"/>
      <c r="N740" s="43"/>
    </row>
    <row r="741" spans="11:14">
      <c r="K741" s="43"/>
      <c r="L741" s="43"/>
      <c r="M741" s="43"/>
      <c r="N741" s="43"/>
    </row>
    <row r="742" spans="11:14">
      <c r="K742" s="43"/>
      <c r="L742" s="43"/>
      <c r="M742" s="43"/>
      <c r="N742" s="43"/>
    </row>
    <row r="743" spans="11:14">
      <c r="K743" s="43"/>
      <c r="L743" s="43"/>
      <c r="M743" s="43"/>
      <c r="N743" s="43"/>
    </row>
    <row r="744" spans="11:14">
      <c r="K744" s="43"/>
      <c r="L744" s="43"/>
      <c r="M744" s="43"/>
      <c r="N744" s="43"/>
    </row>
    <row r="745" spans="11:14">
      <c r="K745" s="43"/>
      <c r="L745" s="43"/>
      <c r="M745" s="43"/>
      <c r="N745" s="43"/>
    </row>
    <row r="746" spans="11:14">
      <c r="K746" s="43"/>
      <c r="L746" s="43"/>
      <c r="M746" s="43"/>
      <c r="N746" s="43"/>
    </row>
    <row r="747" spans="11:14">
      <c r="K747" s="43"/>
      <c r="L747" s="43"/>
      <c r="M747" s="43"/>
      <c r="N747" s="43"/>
    </row>
    <row r="748" spans="11:14">
      <c r="K748" s="43"/>
      <c r="L748" s="43"/>
      <c r="M748" s="43"/>
      <c r="N748" s="43"/>
    </row>
    <row r="749" spans="11:14">
      <c r="K749" s="43"/>
      <c r="L749" s="43"/>
      <c r="M749" s="43"/>
      <c r="N749" s="43"/>
    </row>
    <row r="750" spans="11:14">
      <c r="K750" s="43"/>
      <c r="L750" s="43"/>
      <c r="M750" s="43"/>
      <c r="N750" s="43"/>
    </row>
    <row r="751" spans="11:14">
      <c r="K751" s="43"/>
      <c r="L751" s="43"/>
      <c r="M751" s="43"/>
      <c r="N751" s="43"/>
    </row>
    <row r="752" spans="11:14">
      <c r="K752" s="43"/>
      <c r="L752" s="43"/>
      <c r="M752" s="43"/>
      <c r="N752" s="43"/>
    </row>
    <row r="753" spans="11:14">
      <c r="K753" s="43"/>
      <c r="L753" s="43"/>
      <c r="M753" s="43"/>
      <c r="N753" s="43"/>
    </row>
    <row r="754" spans="11:14">
      <c r="K754" s="43"/>
      <c r="L754" s="43"/>
      <c r="M754" s="43"/>
      <c r="N754" s="43"/>
    </row>
    <row r="755" spans="11:14">
      <c r="K755" s="43"/>
      <c r="L755" s="43"/>
      <c r="M755" s="43"/>
      <c r="N755" s="43"/>
    </row>
    <row r="756" spans="11:14">
      <c r="K756" s="43"/>
      <c r="L756" s="43"/>
      <c r="M756" s="43"/>
      <c r="N756" s="43"/>
    </row>
    <row r="757" spans="11:14">
      <c r="K757" s="43"/>
      <c r="L757" s="43"/>
      <c r="M757" s="43"/>
      <c r="N757" s="43"/>
    </row>
    <row r="758" spans="11:14">
      <c r="K758" s="43"/>
      <c r="L758" s="43"/>
      <c r="M758" s="43"/>
      <c r="N758" s="43"/>
    </row>
    <row r="759" spans="11:14">
      <c r="K759" s="43"/>
      <c r="L759" s="43"/>
      <c r="M759" s="43"/>
      <c r="N759" s="43"/>
    </row>
    <row r="760" spans="11:14">
      <c r="K760" s="43"/>
      <c r="L760" s="43"/>
      <c r="M760" s="43"/>
      <c r="N760" s="43"/>
    </row>
    <row r="761" spans="11:14">
      <c r="K761" s="43"/>
      <c r="L761" s="43"/>
      <c r="M761" s="43"/>
      <c r="N761" s="43"/>
    </row>
    <row r="762" spans="11:14">
      <c r="K762" s="43"/>
      <c r="L762" s="43"/>
      <c r="M762" s="43"/>
      <c r="N762" s="43"/>
    </row>
    <row r="763" spans="11:14">
      <c r="K763" s="43"/>
      <c r="L763" s="43"/>
      <c r="M763" s="43"/>
      <c r="N763" s="43"/>
    </row>
    <row r="764" spans="11:14">
      <c r="K764" s="43"/>
      <c r="L764" s="43"/>
      <c r="M764" s="43"/>
      <c r="N764" s="43"/>
    </row>
    <row r="765" spans="11:14">
      <c r="K765" s="43"/>
      <c r="L765" s="43"/>
      <c r="M765" s="43"/>
      <c r="N765" s="43"/>
    </row>
    <row r="766" spans="11:14">
      <c r="K766" s="43"/>
      <c r="L766" s="43"/>
      <c r="M766" s="43"/>
      <c r="N766" s="43"/>
    </row>
    <row r="767" spans="11:14">
      <c r="K767" s="43"/>
      <c r="L767" s="43"/>
      <c r="M767" s="43"/>
      <c r="N767" s="43"/>
    </row>
    <row r="768" spans="11:14">
      <c r="K768" s="43"/>
      <c r="L768" s="43"/>
      <c r="M768" s="43"/>
      <c r="N768" s="43"/>
    </row>
    <row r="769" spans="11:14">
      <c r="K769" s="43"/>
      <c r="L769" s="43"/>
      <c r="M769" s="43"/>
      <c r="N769" s="43"/>
    </row>
    <row r="770" spans="11:14">
      <c r="K770" s="43"/>
      <c r="L770" s="43"/>
      <c r="M770" s="43"/>
      <c r="N770" s="43"/>
    </row>
    <row r="771" spans="11:14">
      <c r="K771" s="43"/>
      <c r="L771" s="43"/>
      <c r="M771" s="43"/>
      <c r="N771" s="43"/>
    </row>
    <row r="772" spans="11:14">
      <c r="K772" s="43"/>
      <c r="L772" s="43"/>
      <c r="M772" s="43"/>
      <c r="N772" s="43"/>
    </row>
    <row r="773" spans="11:14">
      <c r="K773" s="43"/>
      <c r="L773" s="43"/>
      <c r="M773" s="43"/>
      <c r="N773" s="43"/>
    </row>
    <row r="774" spans="11:14">
      <c r="K774" s="43"/>
      <c r="L774" s="43"/>
      <c r="M774" s="43"/>
      <c r="N774" s="43"/>
    </row>
    <row r="775" spans="11:14">
      <c r="K775" s="43"/>
      <c r="L775" s="43"/>
      <c r="M775" s="43"/>
      <c r="N775" s="43"/>
    </row>
    <row r="776" spans="11:14">
      <c r="K776" s="43"/>
      <c r="L776" s="43"/>
      <c r="M776" s="43"/>
      <c r="N776" s="43"/>
    </row>
    <row r="777" spans="11:14">
      <c r="K777" s="43"/>
      <c r="L777" s="43"/>
      <c r="M777" s="43"/>
      <c r="N777" s="43"/>
    </row>
    <row r="778" spans="11:14">
      <c r="K778" s="43"/>
      <c r="L778" s="43"/>
      <c r="M778" s="43"/>
      <c r="N778" s="43"/>
    </row>
    <row r="779" spans="11:14">
      <c r="K779" s="43"/>
      <c r="L779" s="43"/>
      <c r="M779" s="43"/>
      <c r="N779" s="43"/>
    </row>
    <row r="780" spans="11:14">
      <c r="K780" s="43"/>
      <c r="L780" s="43"/>
      <c r="M780" s="43"/>
      <c r="N780" s="43"/>
    </row>
    <row r="781" spans="11:14">
      <c r="K781" s="43"/>
      <c r="L781" s="43"/>
      <c r="M781" s="43"/>
      <c r="N781" s="43"/>
    </row>
    <row r="782" spans="11:14">
      <c r="K782" s="43"/>
      <c r="L782" s="43"/>
      <c r="M782" s="43"/>
      <c r="N782" s="43"/>
    </row>
    <row r="783" spans="11:14">
      <c r="K783" s="43"/>
      <c r="L783" s="43"/>
      <c r="M783" s="43"/>
      <c r="N783" s="43"/>
    </row>
    <row r="784" spans="11:14">
      <c r="K784" s="43"/>
      <c r="L784" s="43"/>
      <c r="M784" s="43"/>
      <c r="N784" s="43"/>
    </row>
    <row r="785" spans="11:14">
      <c r="K785" s="43"/>
      <c r="L785" s="43"/>
      <c r="M785" s="43"/>
      <c r="N785" s="43"/>
    </row>
    <row r="786" spans="11:14">
      <c r="K786" s="43"/>
      <c r="L786" s="43"/>
      <c r="M786" s="43"/>
      <c r="N786" s="43"/>
    </row>
    <row r="787" spans="11:14">
      <c r="K787" s="43"/>
      <c r="L787" s="43"/>
      <c r="M787" s="43"/>
      <c r="N787" s="43"/>
    </row>
    <row r="788" spans="11:14">
      <c r="K788" s="43"/>
      <c r="L788" s="43"/>
      <c r="M788" s="43"/>
      <c r="N788" s="43"/>
    </row>
    <row r="789" spans="11:14">
      <c r="K789" s="43"/>
      <c r="L789" s="43"/>
      <c r="M789" s="43"/>
      <c r="N789" s="43"/>
    </row>
    <row r="790" spans="11:14">
      <c r="K790" s="43"/>
      <c r="L790" s="43"/>
      <c r="M790" s="43"/>
      <c r="N790" s="43"/>
    </row>
    <row r="791" spans="11:14">
      <c r="K791" s="43"/>
      <c r="L791" s="43"/>
      <c r="M791" s="43"/>
      <c r="N791" s="43"/>
    </row>
    <row r="792" spans="11:14">
      <c r="K792" s="43"/>
      <c r="L792" s="43"/>
      <c r="M792" s="43"/>
      <c r="N792" s="43"/>
    </row>
    <row r="793" spans="11:14">
      <c r="K793" s="43"/>
      <c r="L793" s="43"/>
      <c r="M793" s="43"/>
      <c r="N793" s="43"/>
    </row>
    <row r="794" spans="11:14">
      <c r="K794" s="43"/>
      <c r="L794" s="43"/>
      <c r="M794" s="43"/>
      <c r="N794" s="43"/>
    </row>
    <row r="795" spans="11:14">
      <c r="K795" s="43"/>
      <c r="L795" s="43"/>
      <c r="M795" s="43"/>
      <c r="N795" s="43"/>
    </row>
    <row r="796" spans="11:14">
      <c r="K796" s="43"/>
      <c r="L796" s="43"/>
      <c r="M796" s="43"/>
      <c r="N796" s="43"/>
    </row>
    <row r="797" spans="11:14">
      <c r="K797" s="43"/>
      <c r="L797" s="43"/>
      <c r="M797" s="43"/>
      <c r="N797" s="43"/>
    </row>
    <row r="798" spans="11:14">
      <c r="K798" s="43"/>
      <c r="L798" s="43"/>
      <c r="M798" s="43"/>
      <c r="N798" s="43"/>
    </row>
    <row r="799" spans="11:14">
      <c r="K799" s="43"/>
      <c r="L799" s="43"/>
      <c r="M799" s="43"/>
      <c r="N799" s="43"/>
    </row>
    <row r="800" spans="11:14">
      <c r="K800" s="43"/>
      <c r="L800" s="43"/>
      <c r="M800" s="43"/>
      <c r="N800" s="43"/>
    </row>
    <row r="801" spans="11:14">
      <c r="K801" s="43"/>
      <c r="L801" s="43"/>
      <c r="M801" s="43"/>
      <c r="N801" s="43"/>
    </row>
    <row r="802" spans="11:14">
      <c r="K802" s="43"/>
      <c r="L802" s="43"/>
      <c r="M802" s="43"/>
      <c r="N802" s="43"/>
    </row>
    <row r="803" spans="11:14">
      <c r="K803" s="43"/>
      <c r="L803" s="43"/>
      <c r="M803" s="43"/>
      <c r="N803" s="43"/>
    </row>
    <row r="804" spans="11:14">
      <c r="K804" s="43"/>
      <c r="L804" s="43"/>
      <c r="M804" s="43"/>
      <c r="N804" s="43"/>
    </row>
    <row r="805" spans="11:14">
      <c r="K805" s="43"/>
      <c r="L805" s="43"/>
      <c r="M805" s="43"/>
      <c r="N805" s="43"/>
    </row>
    <row r="806" spans="11:14">
      <c r="K806" s="43"/>
      <c r="L806" s="43"/>
      <c r="M806" s="43"/>
      <c r="N806" s="43"/>
    </row>
    <row r="807" spans="11:14">
      <c r="K807" s="43"/>
      <c r="L807" s="43"/>
      <c r="M807" s="43"/>
      <c r="N807" s="43"/>
    </row>
    <row r="808" spans="11:14">
      <c r="K808" s="43"/>
      <c r="L808" s="43"/>
      <c r="M808" s="43"/>
      <c r="N808" s="43"/>
    </row>
    <row r="809" spans="11:14">
      <c r="K809" s="43"/>
      <c r="L809" s="43"/>
      <c r="M809" s="43"/>
      <c r="N809" s="43"/>
    </row>
    <row r="810" spans="11:14">
      <c r="K810" s="43"/>
      <c r="L810" s="43"/>
      <c r="M810" s="43"/>
      <c r="N810" s="43"/>
    </row>
    <row r="811" spans="11:14">
      <c r="K811" s="43"/>
      <c r="L811" s="43"/>
      <c r="M811" s="43"/>
      <c r="N811" s="43"/>
    </row>
    <row r="812" spans="11:14">
      <c r="K812" s="43"/>
      <c r="L812" s="43"/>
      <c r="M812" s="43"/>
      <c r="N812" s="43"/>
    </row>
    <row r="813" spans="11:14">
      <c r="K813" s="43"/>
      <c r="L813" s="43"/>
      <c r="M813" s="43"/>
      <c r="N813" s="43"/>
    </row>
    <row r="814" spans="11:14">
      <c r="K814" s="43"/>
      <c r="L814" s="43"/>
      <c r="M814" s="43"/>
      <c r="N814" s="43"/>
    </row>
    <row r="815" spans="11:14">
      <c r="K815" s="43"/>
      <c r="L815" s="43"/>
      <c r="M815" s="43"/>
      <c r="N815" s="43"/>
    </row>
    <row r="816" spans="11:14">
      <c r="K816" s="43"/>
      <c r="L816" s="43"/>
      <c r="M816" s="43"/>
      <c r="N816" s="43"/>
    </row>
    <row r="817" spans="11:14">
      <c r="K817" s="43"/>
      <c r="L817" s="43"/>
      <c r="M817" s="43"/>
      <c r="N817" s="43"/>
    </row>
    <row r="818" spans="11:14">
      <c r="K818" s="43"/>
      <c r="L818" s="43"/>
      <c r="M818" s="43"/>
      <c r="N818" s="43"/>
    </row>
    <row r="819" spans="11:14">
      <c r="K819" s="43"/>
      <c r="L819" s="43"/>
      <c r="M819" s="43"/>
      <c r="N819" s="43"/>
    </row>
    <row r="820" spans="11:14">
      <c r="K820" s="43"/>
      <c r="L820" s="43"/>
      <c r="M820" s="43"/>
      <c r="N820" s="43"/>
    </row>
    <row r="821" spans="11:14">
      <c r="K821" s="43"/>
      <c r="L821" s="43"/>
      <c r="M821" s="43"/>
      <c r="N821" s="43"/>
    </row>
    <row r="822" spans="11:14">
      <c r="K822" s="43"/>
      <c r="L822" s="43"/>
      <c r="M822" s="43"/>
      <c r="N822" s="43"/>
    </row>
    <row r="823" spans="11:14">
      <c r="K823" s="43"/>
      <c r="L823" s="43"/>
      <c r="M823" s="43"/>
      <c r="N823" s="43"/>
    </row>
    <row r="824" spans="11:14">
      <c r="K824" s="43"/>
      <c r="L824" s="43"/>
      <c r="M824" s="43"/>
      <c r="N824" s="43"/>
    </row>
    <row r="825" spans="11:14">
      <c r="K825" s="43"/>
      <c r="L825" s="43"/>
      <c r="M825" s="43"/>
      <c r="N825" s="43"/>
    </row>
    <row r="826" spans="11:14">
      <c r="K826" s="43"/>
      <c r="L826" s="43"/>
      <c r="M826" s="43"/>
      <c r="N826" s="43"/>
    </row>
    <row r="827" spans="11:14">
      <c r="K827" s="43"/>
      <c r="L827" s="43"/>
      <c r="M827" s="43"/>
      <c r="N827" s="43"/>
    </row>
    <row r="828" spans="11:14">
      <c r="K828" s="43"/>
      <c r="L828" s="43"/>
      <c r="M828" s="43"/>
      <c r="N828" s="43"/>
    </row>
    <row r="829" spans="11:14">
      <c r="K829" s="43"/>
      <c r="L829" s="43"/>
      <c r="M829" s="43"/>
      <c r="N829" s="43"/>
    </row>
    <row r="830" spans="11:14">
      <c r="K830" s="43"/>
      <c r="L830" s="43"/>
      <c r="M830" s="43"/>
      <c r="N830" s="43"/>
    </row>
    <row r="831" spans="11:14">
      <c r="K831" s="43"/>
      <c r="L831" s="43"/>
      <c r="M831" s="43"/>
      <c r="N831" s="43"/>
    </row>
    <row r="832" spans="11:14">
      <c r="K832" s="43"/>
      <c r="L832" s="43"/>
      <c r="M832" s="43"/>
      <c r="N832" s="43"/>
    </row>
    <row r="833" spans="11:14">
      <c r="K833" s="43"/>
      <c r="L833" s="43"/>
      <c r="M833" s="43"/>
      <c r="N833" s="43"/>
    </row>
    <row r="834" spans="11:14">
      <c r="K834" s="43"/>
      <c r="L834" s="43"/>
      <c r="M834" s="43"/>
      <c r="N834" s="43"/>
    </row>
    <row r="835" spans="11:14">
      <c r="K835" s="43"/>
      <c r="L835" s="43"/>
      <c r="M835" s="43"/>
      <c r="N835" s="43"/>
    </row>
    <row r="836" spans="11:14">
      <c r="K836" s="43"/>
      <c r="L836" s="43"/>
      <c r="M836" s="43"/>
      <c r="N836" s="43"/>
    </row>
    <row r="837" spans="11:14">
      <c r="K837" s="43"/>
      <c r="L837" s="43"/>
      <c r="M837" s="43"/>
      <c r="N837" s="43"/>
    </row>
    <row r="838" spans="11:14">
      <c r="K838" s="43"/>
      <c r="L838" s="43"/>
      <c r="M838" s="43"/>
      <c r="N838" s="43"/>
    </row>
    <row r="839" spans="11:14">
      <c r="K839" s="43"/>
      <c r="L839" s="43"/>
      <c r="M839" s="43"/>
      <c r="N839" s="43"/>
    </row>
    <row r="840" spans="11:14">
      <c r="K840" s="43"/>
      <c r="L840" s="43"/>
      <c r="M840" s="43"/>
      <c r="N840" s="43"/>
    </row>
    <row r="841" spans="11:14">
      <c r="K841" s="43"/>
      <c r="L841" s="43"/>
      <c r="M841" s="43"/>
      <c r="N841" s="43"/>
    </row>
    <row r="842" spans="11:14">
      <c r="K842" s="43"/>
      <c r="L842" s="43"/>
      <c r="M842" s="43"/>
      <c r="N842" s="43"/>
    </row>
    <row r="843" spans="11:14">
      <c r="K843" s="43"/>
      <c r="L843" s="43"/>
      <c r="M843" s="43"/>
      <c r="N843" s="43"/>
    </row>
    <row r="844" spans="11:14">
      <c r="K844" s="43"/>
      <c r="L844" s="43"/>
      <c r="M844" s="43"/>
      <c r="N844" s="43"/>
    </row>
    <row r="845" spans="11:14">
      <c r="K845" s="43"/>
      <c r="L845" s="43"/>
      <c r="M845" s="43"/>
      <c r="N845" s="43"/>
    </row>
    <row r="846" spans="11:14">
      <c r="K846" s="43"/>
      <c r="L846" s="43"/>
      <c r="M846" s="43"/>
      <c r="N846" s="43"/>
    </row>
    <row r="847" spans="11:14">
      <c r="K847" s="43"/>
      <c r="L847" s="43"/>
      <c r="M847" s="43"/>
      <c r="N847" s="43"/>
    </row>
    <row r="848" spans="11:14">
      <c r="K848" s="43"/>
      <c r="L848" s="43"/>
      <c r="M848" s="43"/>
      <c r="N848" s="43"/>
    </row>
    <row r="849" spans="11:14">
      <c r="K849" s="43"/>
      <c r="L849" s="43"/>
      <c r="M849" s="43"/>
      <c r="N849" s="43"/>
    </row>
    <row r="850" spans="11:14">
      <c r="K850" s="43"/>
      <c r="L850" s="43"/>
      <c r="M850" s="43"/>
      <c r="N850" s="43"/>
    </row>
    <row r="851" spans="11:14">
      <c r="K851" s="43"/>
      <c r="L851" s="43"/>
      <c r="M851" s="43"/>
      <c r="N851" s="43"/>
    </row>
    <row r="852" spans="11:14">
      <c r="K852" s="43"/>
      <c r="L852" s="43"/>
      <c r="M852" s="43"/>
      <c r="N852" s="43"/>
    </row>
    <row r="853" spans="11:14">
      <c r="K853" s="43"/>
      <c r="L853" s="43"/>
      <c r="M853" s="43"/>
      <c r="N853" s="43"/>
    </row>
    <row r="854" spans="11:14">
      <c r="K854" s="43"/>
      <c r="L854" s="43"/>
      <c r="M854" s="43"/>
      <c r="N854" s="43"/>
    </row>
    <row r="855" spans="11:14">
      <c r="K855" s="43"/>
      <c r="L855" s="43"/>
      <c r="M855" s="43"/>
      <c r="N855" s="43"/>
    </row>
    <row r="856" spans="11:14">
      <c r="K856" s="43"/>
      <c r="L856" s="43"/>
      <c r="M856" s="43"/>
      <c r="N856" s="43"/>
    </row>
    <row r="857" spans="11:14">
      <c r="K857" s="43"/>
      <c r="L857" s="43"/>
      <c r="M857" s="43"/>
      <c r="N857" s="43"/>
    </row>
    <row r="858" spans="11:14">
      <c r="K858" s="43"/>
      <c r="L858" s="43"/>
      <c r="M858" s="43"/>
      <c r="N858" s="43"/>
    </row>
    <row r="859" spans="11:14">
      <c r="K859" s="43"/>
      <c r="L859" s="43"/>
      <c r="M859" s="43"/>
      <c r="N859" s="43"/>
    </row>
    <row r="860" spans="11:14">
      <c r="K860" s="43"/>
      <c r="L860" s="43"/>
      <c r="M860" s="43"/>
      <c r="N860" s="43"/>
    </row>
    <row r="861" spans="11:14">
      <c r="K861" s="43"/>
      <c r="L861" s="43"/>
      <c r="M861" s="43"/>
      <c r="N861" s="43"/>
    </row>
    <row r="862" spans="11:14">
      <c r="K862" s="43"/>
      <c r="L862" s="43"/>
      <c r="M862" s="43"/>
      <c r="N862" s="43"/>
    </row>
    <row r="863" spans="11:14">
      <c r="K863" s="43"/>
      <c r="L863" s="43"/>
      <c r="M863" s="43"/>
      <c r="N863" s="43"/>
    </row>
    <row r="864" spans="11:14">
      <c r="K864" s="43"/>
      <c r="L864" s="43"/>
      <c r="M864" s="43"/>
      <c r="N864" s="43"/>
    </row>
    <row r="865" spans="11:14">
      <c r="K865" s="43"/>
      <c r="L865" s="43"/>
      <c r="M865" s="43"/>
      <c r="N865" s="43"/>
    </row>
    <row r="866" spans="11:14">
      <c r="K866" s="43"/>
      <c r="L866" s="43"/>
      <c r="M866" s="43"/>
      <c r="N866" s="43"/>
    </row>
    <row r="867" spans="11:14">
      <c r="K867" s="43"/>
      <c r="L867" s="43"/>
      <c r="M867" s="43"/>
      <c r="N867" s="43"/>
    </row>
    <row r="868" spans="11:14">
      <c r="K868" s="43"/>
      <c r="L868" s="43"/>
      <c r="M868" s="43"/>
      <c r="N868" s="43"/>
    </row>
    <row r="869" spans="11:14">
      <c r="K869" s="43"/>
      <c r="L869" s="43"/>
      <c r="M869" s="43"/>
      <c r="N869" s="43"/>
    </row>
    <row r="870" spans="11:14">
      <c r="K870" s="43"/>
      <c r="L870" s="43"/>
      <c r="M870" s="43"/>
      <c r="N870" s="43"/>
    </row>
    <row r="871" spans="11:14">
      <c r="K871" s="43"/>
      <c r="L871" s="43"/>
      <c r="M871" s="43"/>
      <c r="N871" s="43"/>
    </row>
    <row r="872" spans="11:14">
      <c r="K872" s="43"/>
      <c r="L872" s="43"/>
      <c r="M872" s="43"/>
      <c r="N872" s="43"/>
    </row>
    <row r="873" spans="11:14">
      <c r="K873" s="43"/>
      <c r="L873" s="43"/>
      <c r="M873" s="43"/>
      <c r="N873" s="43"/>
    </row>
    <row r="874" spans="11:14">
      <c r="K874" s="43"/>
      <c r="L874" s="43"/>
      <c r="M874" s="43"/>
      <c r="N874" s="43"/>
    </row>
    <row r="875" spans="11:14">
      <c r="K875" s="43"/>
      <c r="L875" s="43"/>
      <c r="M875" s="43"/>
      <c r="N875" s="43"/>
    </row>
    <row r="876" spans="11:14">
      <c r="K876" s="43"/>
      <c r="L876" s="43"/>
      <c r="M876" s="43"/>
      <c r="N876" s="43"/>
    </row>
    <row r="877" spans="11:14">
      <c r="K877" s="43"/>
      <c r="L877" s="43"/>
      <c r="M877" s="43"/>
      <c r="N877" s="43"/>
    </row>
    <row r="878" spans="11:14">
      <c r="K878" s="43"/>
      <c r="L878" s="43"/>
      <c r="M878" s="43"/>
      <c r="N878" s="43"/>
    </row>
    <row r="879" spans="11:14">
      <c r="K879" s="43"/>
      <c r="L879" s="43"/>
      <c r="M879" s="43"/>
      <c r="N879" s="43"/>
    </row>
    <row r="880" spans="11:14">
      <c r="K880" s="43"/>
      <c r="L880" s="43"/>
      <c r="M880" s="43"/>
      <c r="N880" s="43"/>
    </row>
    <row r="881" spans="11:14">
      <c r="K881" s="43"/>
      <c r="L881" s="43"/>
      <c r="M881" s="43"/>
      <c r="N881" s="43"/>
    </row>
    <row r="882" spans="11:14">
      <c r="K882" s="43"/>
      <c r="L882" s="43"/>
      <c r="M882" s="43"/>
      <c r="N882" s="43"/>
    </row>
    <row r="883" spans="11:14">
      <c r="K883" s="43"/>
      <c r="L883" s="43"/>
      <c r="M883" s="43"/>
      <c r="N883" s="43"/>
    </row>
    <row r="884" spans="11:14">
      <c r="K884" s="43"/>
      <c r="L884" s="43"/>
      <c r="M884" s="43"/>
      <c r="N884" s="43"/>
    </row>
    <row r="885" spans="11:14">
      <c r="K885" s="43"/>
      <c r="L885" s="43"/>
      <c r="M885" s="43"/>
      <c r="N885" s="43"/>
    </row>
    <row r="886" spans="11:14">
      <c r="K886" s="43"/>
      <c r="L886" s="43"/>
      <c r="M886" s="43"/>
      <c r="N886" s="43"/>
    </row>
    <row r="887" spans="11:14">
      <c r="K887" s="43"/>
      <c r="L887" s="43"/>
      <c r="M887" s="43"/>
      <c r="N887" s="43"/>
    </row>
    <row r="888" spans="11:14">
      <c r="K888" s="43"/>
      <c r="L888" s="43"/>
      <c r="M888" s="43"/>
      <c r="N888" s="43"/>
    </row>
    <row r="889" spans="11:14">
      <c r="K889" s="43"/>
      <c r="L889" s="43"/>
      <c r="M889" s="43"/>
      <c r="N889" s="43"/>
    </row>
    <row r="890" spans="11:14">
      <c r="K890" s="43"/>
      <c r="L890" s="43"/>
      <c r="M890" s="43"/>
      <c r="N890" s="43"/>
    </row>
    <row r="891" spans="11:14">
      <c r="K891" s="43"/>
      <c r="L891" s="43"/>
      <c r="M891" s="43"/>
      <c r="N891" s="43"/>
    </row>
    <row r="892" spans="11:14">
      <c r="K892" s="43"/>
      <c r="L892" s="43"/>
      <c r="M892" s="43"/>
      <c r="N892" s="43"/>
    </row>
    <row r="893" spans="11:14">
      <c r="K893" s="43"/>
      <c r="L893" s="43"/>
      <c r="M893" s="43"/>
      <c r="N893" s="43"/>
    </row>
    <row r="894" spans="11:14">
      <c r="K894" s="43"/>
      <c r="L894" s="43"/>
      <c r="M894" s="43"/>
      <c r="N894" s="43"/>
    </row>
    <row r="895" spans="11:14">
      <c r="K895" s="43"/>
      <c r="L895" s="43"/>
      <c r="M895" s="43"/>
      <c r="N895" s="43"/>
    </row>
    <row r="896" spans="11:14">
      <c r="K896" s="43"/>
      <c r="L896" s="43"/>
      <c r="M896" s="43"/>
      <c r="N896" s="43"/>
    </row>
    <row r="897" spans="11:14">
      <c r="K897" s="43"/>
      <c r="L897" s="43"/>
      <c r="M897" s="43"/>
      <c r="N897" s="43"/>
    </row>
    <row r="898" spans="11:14">
      <c r="K898" s="43"/>
      <c r="L898" s="43"/>
      <c r="M898" s="43"/>
      <c r="N898" s="43"/>
    </row>
    <row r="899" spans="11:14">
      <c r="K899" s="43"/>
      <c r="L899" s="43"/>
      <c r="M899" s="43"/>
      <c r="N899" s="43"/>
    </row>
    <row r="900" spans="11:14">
      <c r="K900" s="43"/>
      <c r="L900" s="43"/>
      <c r="M900" s="43"/>
      <c r="N900" s="43"/>
    </row>
    <row r="901" spans="11:14">
      <c r="K901" s="43"/>
      <c r="L901" s="43"/>
      <c r="M901" s="43"/>
      <c r="N901" s="43"/>
    </row>
    <row r="902" spans="11:14">
      <c r="K902" s="43"/>
      <c r="L902" s="43"/>
      <c r="M902" s="43"/>
      <c r="N902" s="43"/>
    </row>
    <row r="903" spans="11:14">
      <c r="K903" s="43"/>
      <c r="L903" s="43"/>
      <c r="M903" s="43"/>
      <c r="N903" s="43"/>
    </row>
    <row r="904" spans="11:14">
      <c r="K904" s="43"/>
      <c r="L904" s="43"/>
      <c r="M904" s="43"/>
      <c r="N904" s="43"/>
    </row>
    <row r="905" spans="11:14">
      <c r="K905" s="43"/>
      <c r="L905" s="43"/>
      <c r="M905" s="43"/>
      <c r="N905" s="43"/>
    </row>
    <row r="906" spans="11:14">
      <c r="K906" s="43"/>
      <c r="L906" s="43"/>
      <c r="M906" s="43"/>
      <c r="N906" s="43"/>
    </row>
    <row r="907" spans="11:14">
      <c r="K907" s="43"/>
      <c r="L907" s="43"/>
      <c r="M907" s="43"/>
      <c r="N907" s="43"/>
    </row>
    <row r="908" spans="11:14">
      <c r="K908" s="43"/>
      <c r="L908" s="43"/>
      <c r="M908" s="43"/>
      <c r="N908" s="43"/>
    </row>
    <row r="909" spans="11:14">
      <c r="K909" s="43"/>
      <c r="L909" s="43"/>
      <c r="M909" s="43"/>
      <c r="N909" s="43"/>
    </row>
    <row r="910" spans="11:14">
      <c r="K910" s="43"/>
      <c r="L910" s="43"/>
      <c r="M910" s="43"/>
      <c r="N910" s="43"/>
    </row>
    <row r="911" spans="11:14">
      <c r="K911" s="43"/>
      <c r="L911" s="43"/>
      <c r="M911" s="43"/>
      <c r="N911" s="43"/>
    </row>
    <row r="912" spans="11:14">
      <c r="K912" s="43"/>
      <c r="L912" s="43"/>
      <c r="M912" s="43"/>
      <c r="N912" s="43"/>
    </row>
    <row r="913" spans="11:14">
      <c r="K913" s="43"/>
      <c r="L913" s="43"/>
      <c r="M913" s="43"/>
      <c r="N913" s="43"/>
    </row>
    <row r="914" spans="11:14">
      <c r="K914" s="43"/>
      <c r="L914" s="43"/>
      <c r="M914" s="43"/>
      <c r="N914" s="43"/>
    </row>
    <row r="915" spans="11:14">
      <c r="K915" s="43"/>
      <c r="L915" s="43"/>
      <c r="M915" s="43"/>
      <c r="N915" s="43"/>
    </row>
    <row r="916" spans="11:14">
      <c r="K916" s="43"/>
      <c r="L916" s="43"/>
      <c r="M916" s="43"/>
      <c r="N916" s="43"/>
    </row>
    <row r="917" spans="11:14">
      <c r="K917" s="43"/>
      <c r="L917" s="43"/>
      <c r="M917" s="43"/>
      <c r="N917" s="43"/>
    </row>
    <row r="918" spans="11:14">
      <c r="K918" s="43"/>
      <c r="L918" s="43"/>
      <c r="M918" s="43"/>
      <c r="N918" s="43"/>
    </row>
    <row r="919" spans="11:14">
      <c r="K919" s="43"/>
      <c r="L919" s="43"/>
      <c r="M919" s="43"/>
      <c r="N919" s="43"/>
    </row>
    <row r="920" spans="11:14">
      <c r="K920" s="43"/>
      <c r="L920" s="43"/>
      <c r="M920" s="43"/>
      <c r="N920" s="43"/>
    </row>
    <row r="921" spans="11:14">
      <c r="K921" s="43"/>
      <c r="L921" s="43"/>
      <c r="M921" s="43"/>
      <c r="N921" s="43"/>
    </row>
    <row r="922" spans="11:14">
      <c r="K922" s="43"/>
      <c r="L922" s="43"/>
      <c r="M922" s="43"/>
      <c r="N922" s="43"/>
    </row>
    <row r="923" spans="11:14">
      <c r="K923" s="43"/>
      <c r="L923" s="43"/>
      <c r="M923" s="43"/>
      <c r="N923" s="43"/>
    </row>
    <row r="924" spans="11:14">
      <c r="K924" s="43"/>
      <c r="L924" s="43"/>
      <c r="M924" s="43"/>
      <c r="N924" s="43"/>
    </row>
    <row r="925" spans="11:14">
      <c r="K925" s="43"/>
      <c r="L925" s="43"/>
      <c r="M925" s="43"/>
      <c r="N925" s="43"/>
    </row>
    <row r="926" spans="11:14">
      <c r="K926" s="43"/>
      <c r="L926" s="43"/>
      <c r="M926" s="43"/>
      <c r="N926" s="43"/>
    </row>
    <row r="927" spans="11:14">
      <c r="K927" s="43"/>
      <c r="L927" s="43"/>
      <c r="M927" s="43"/>
      <c r="N927" s="43"/>
    </row>
    <row r="928" spans="11:14">
      <c r="K928" s="43"/>
      <c r="L928" s="43"/>
      <c r="M928" s="43"/>
      <c r="N928" s="43"/>
    </row>
    <row r="929" spans="11:14">
      <c r="K929" s="43"/>
      <c r="L929" s="43"/>
      <c r="M929" s="43"/>
      <c r="N929" s="43"/>
    </row>
    <row r="930" spans="11:14">
      <c r="K930" s="43"/>
      <c r="L930" s="43"/>
      <c r="M930" s="43"/>
      <c r="N930" s="43"/>
    </row>
    <row r="931" spans="11:14">
      <c r="K931" s="43"/>
      <c r="L931" s="43"/>
      <c r="M931" s="43"/>
      <c r="N931" s="43"/>
    </row>
    <row r="932" spans="11:14">
      <c r="K932" s="43"/>
      <c r="L932" s="43"/>
      <c r="M932" s="43"/>
      <c r="N932" s="43"/>
    </row>
    <row r="933" spans="11:14">
      <c r="K933" s="43"/>
      <c r="L933" s="43"/>
      <c r="M933" s="43"/>
      <c r="N933" s="43"/>
    </row>
    <row r="934" spans="11:14">
      <c r="K934" s="43"/>
      <c r="L934" s="43"/>
      <c r="M934" s="43"/>
      <c r="N934" s="43"/>
    </row>
    <row r="935" spans="11:14">
      <c r="K935" s="43"/>
      <c r="L935" s="43"/>
      <c r="M935" s="43"/>
      <c r="N935" s="43"/>
    </row>
    <row r="936" spans="11:14">
      <c r="K936" s="43"/>
      <c r="L936" s="43"/>
      <c r="M936" s="43"/>
      <c r="N936" s="43"/>
    </row>
    <row r="937" spans="11:14">
      <c r="K937" s="43"/>
      <c r="L937" s="43"/>
      <c r="M937" s="43"/>
      <c r="N937" s="43"/>
    </row>
    <row r="938" spans="11:14">
      <c r="K938" s="43"/>
      <c r="L938" s="43"/>
      <c r="M938" s="43"/>
      <c r="N938" s="43"/>
    </row>
    <row r="939" spans="11:14">
      <c r="K939" s="43"/>
      <c r="L939" s="43"/>
      <c r="M939" s="43"/>
      <c r="N939" s="43"/>
    </row>
    <row r="940" spans="11:14">
      <c r="K940" s="43"/>
      <c r="L940" s="43"/>
      <c r="M940" s="43"/>
      <c r="N940" s="43"/>
    </row>
    <row r="941" spans="11:14">
      <c r="K941" s="43"/>
      <c r="L941" s="43"/>
      <c r="M941" s="43"/>
      <c r="N941" s="43"/>
    </row>
    <row r="942" spans="11:14">
      <c r="K942" s="43"/>
      <c r="L942" s="43"/>
      <c r="M942" s="43"/>
      <c r="N942" s="43"/>
    </row>
    <row r="943" spans="11:14">
      <c r="K943" s="43"/>
      <c r="L943" s="43"/>
      <c r="M943" s="43"/>
      <c r="N943" s="43"/>
    </row>
    <row r="944" spans="11:14">
      <c r="K944" s="43"/>
      <c r="L944" s="43"/>
      <c r="M944" s="43"/>
      <c r="N944" s="43"/>
    </row>
    <row r="945" spans="11:14">
      <c r="K945" s="43"/>
      <c r="L945" s="43"/>
      <c r="M945" s="43"/>
      <c r="N945" s="43"/>
    </row>
    <row r="946" spans="11:14">
      <c r="K946" s="43"/>
      <c r="L946" s="43"/>
      <c r="M946" s="43"/>
      <c r="N946" s="43"/>
    </row>
    <row r="947" spans="11:14">
      <c r="K947" s="43"/>
      <c r="L947" s="43"/>
      <c r="M947" s="43"/>
      <c r="N947" s="43"/>
    </row>
  </sheetData>
  <autoFilter ref="A2:P2" xr:uid="{C5C2BC2A-39EF-41BF-AD8A-98A78C1356E2}"/>
  <mergeCells count="53">
    <mergeCell ref="Q106:Q107"/>
    <mergeCell ref="Q108:Q109"/>
    <mergeCell ref="E50:E58"/>
    <mergeCell ref="E68:E77"/>
    <mergeCell ref="C81:D81"/>
    <mergeCell ref="C59:D59"/>
    <mergeCell ref="E59:E67"/>
    <mergeCell ref="C54:D54"/>
    <mergeCell ref="Q104:Q105"/>
    <mergeCell ref="B41:B47"/>
    <mergeCell ref="B94:B96"/>
    <mergeCell ref="C79:D79"/>
    <mergeCell ref="C72:D72"/>
    <mergeCell ref="C82:D82"/>
    <mergeCell ref="C83:D83"/>
    <mergeCell ref="C84:D84"/>
    <mergeCell ref="C92:D92"/>
    <mergeCell ref="C90:D90"/>
    <mergeCell ref="C85:D85"/>
    <mergeCell ref="C86:D86"/>
    <mergeCell ref="C87:D87"/>
    <mergeCell ref="C88:D88"/>
    <mergeCell ref="C64:D64"/>
    <mergeCell ref="C89:D89"/>
    <mergeCell ref="C80:D80"/>
    <mergeCell ref="C40:D40"/>
    <mergeCell ref="C41:D41"/>
    <mergeCell ref="C48:D48"/>
    <mergeCell ref="C49:D49"/>
    <mergeCell ref="C78:D78"/>
    <mergeCell ref="C44:D44"/>
    <mergeCell ref="C68:D68"/>
    <mergeCell ref="C70:D70"/>
    <mergeCell ref="C75:D75"/>
    <mergeCell ref="C52:D52"/>
    <mergeCell ref="C50:D50"/>
    <mergeCell ref="C66:D66"/>
    <mergeCell ref="C55:D55"/>
    <mergeCell ref="C57:D57"/>
    <mergeCell ref="C60:D60"/>
    <mergeCell ref="C62:D62"/>
    <mergeCell ref="B33:B38"/>
    <mergeCell ref="C29:D29"/>
    <mergeCell ref="C32:D32"/>
    <mergeCell ref="C33:D33"/>
    <mergeCell ref="C39:D39"/>
    <mergeCell ref="A99:A102"/>
    <mergeCell ref="A29:A32"/>
    <mergeCell ref="A33:A49"/>
    <mergeCell ref="A78:A80"/>
    <mergeCell ref="A81:A85"/>
    <mergeCell ref="A86:A89"/>
    <mergeCell ref="A90:A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C2A-39EF-41BF-AD8A-98A78C1356E2}">
  <dimension ref="A1:P893"/>
  <sheetViews>
    <sheetView tabSelected="1" topLeftCell="A20" zoomScale="125" zoomScaleNormal="85" workbookViewId="0">
      <selection activeCell="B31" sqref="B31"/>
    </sheetView>
  </sheetViews>
  <sheetFormatPr defaultColWidth="8.85546875" defaultRowHeight="15"/>
  <cols>
    <col min="1" max="1" width="24.140625" style="12" bestFit="1" customWidth="1"/>
    <col min="2" max="2" width="29.28515625" style="14" customWidth="1"/>
    <col min="3" max="3" width="24.140625" customWidth="1"/>
    <col min="4" max="4" width="15" bestFit="1" customWidth="1"/>
    <col min="5" max="5" width="6.85546875" bestFit="1" customWidth="1"/>
    <col min="6" max="6" width="7.28515625" bestFit="1" customWidth="1"/>
    <col min="7" max="7" width="8.28515625" bestFit="1" customWidth="1"/>
    <col min="8" max="8" width="10.85546875" bestFit="1" customWidth="1"/>
    <col min="9" max="9" width="25.42578125" customWidth="1"/>
    <col min="10" max="10" width="19.7109375" style="1" bestFit="1" customWidth="1"/>
    <col min="11" max="11" width="86" style="14" bestFit="1" customWidth="1"/>
    <col min="12" max="12" width="79" style="14" bestFit="1" customWidth="1"/>
    <col min="13" max="13" width="9.140625" bestFit="1" customWidth="1"/>
  </cols>
  <sheetData>
    <row r="1" spans="1:12" ht="14.45" customHeight="1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2" ht="15.95">
      <c r="A2" s="35" t="s">
        <v>1</v>
      </c>
      <c r="B2" s="36" t="s">
        <v>2</v>
      </c>
      <c r="C2" s="66" t="s">
        <v>3</v>
      </c>
      <c r="D2" s="66" t="s">
        <v>416</v>
      </c>
      <c r="E2" s="34" t="s">
        <v>6</v>
      </c>
      <c r="F2" s="34" t="s">
        <v>7</v>
      </c>
      <c r="G2" s="34" t="s">
        <v>8</v>
      </c>
      <c r="H2" s="34" t="s">
        <v>9</v>
      </c>
      <c r="I2" s="34" t="s">
        <v>10</v>
      </c>
      <c r="J2" s="34" t="s">
        <v>11</v>
      </c>
      <c r="K2" s="33" t="s">
        <v>417</v>
      </c>
      <c r="L2" s="33" t="s">
        <v>16</v>
      </c>
    </row>
    <row r="3" spans="1:12" ht="15.95">
      <c r="A3" s="18" t="s">
        <v>26</v>
      </c>
      <c r="B3" s="20" t="s">
        <v>18</v>
      </c>
      <c r="C3" s="7" t="s">
        <v>18</v>
      </c>
      <c r="D3" s="7" t="s">
        <v>18</v>
      </c>
      <c r="E3" s="10">
        <v>0.64500000000000002</v>
      </c>
      <c r="F3" s="10">
        <v>0.314</v>
      </c>
      <c r="G3" s="10">
        <v>0.51300000000000001</v>
      </c>
      <c r="H3" s="82">
        <v>4.8</v>
      </c>
      <c r="I3" s="10" t="s">
        <v>418</v>
      </c>
      <c r="J3" s="10" cm="1">
        <f t="array" aca="1" ref="J3" ca="1">SUM(VALUE(TRIM(MID(SUBSTITUTE(I3,",",REPT(" ",100)),(ROW(INDIRECT("1:3"))-1)*100+1,100))))</f>
        <v>2870</v>
      </c>
      <c r="K3" s="9" t="s">
        <v>18</v>
      </c>
      <c r="L3" s="9" t="s">
        <v>18</v>
      </c>
    </row>
    <row r="4" spans="1:12" ht="15.95">
      <c r="A4" s="18" t="s">
        <v>36</v>
      </c>
      <c r="B4" s="19" t="s">
        <v>18</v>
      </c>
      <c r="C4" s="7" t="s">
        <v>18</v>
      </c>
      <c r="D4" s="7" t="s">
        <v>18</v>
      </c>
      <c r="E4" s="10">
        <v>0.76300000000000001</v>
      </c>
      <c r="F4" s="10">
        <v>0.45300000000000001</v>
      </c>
      <c r="G4" s="10">
        <v>0.63900000000000001</v>
      </c>
      <c r="H4" s="10">
        <v>5.9</v>
      </c>
      <c r="I4" s="10" t="s">
        <v>419</v>
      </c>
      <c r="J4" s="10" cm="1">
        <f t="array" aca="1" ref="J4" ca="1">SUM(VALUE(TRIM(MID(SUBSTITUTE(I4,",",REPT(" ",100)),(ROW(INDIRECT("1:3"))-1)*100+1,100))))</f>
        <v>3201</v>
      </c>
      <c r="K4" s="8" t="s">
        <v>18</v>
      </c>
      <c r="L4" s="8" t="s">
        <v>18</v>
      </c>
    </row>
    <row r="5" spans="1:12" ht="15.95">
      <c r="A5" s="18" t="s">
        <v>38</v>
      </c>
      <c r="B5" s="19" t="s">
        <v>18</v>
      </c>
      <c r="C5" s="7" t="s">
        <v>18</v>
      </c>
      <c r="D5" s="7" t="s">
        <v>18</v>
      </c>
      <c r="E5" s="10">
        <v>0.83899999999999997</v>
      </c>
      <c r="F5" s="10">
        <v>0.68</v>
      </c>
      <c r="G5" s="10">
        <v>0.77500000000000002</v>
      </c>
      <c r="H5" s="10">
        <v>7.3</v>
      </c>
      <c r="I5" s="10" t="s">
        <v>420</v>
      </c>
      <c r="J5" s="10" cm="1">
        <f t="array" aca="1" ref="J5" ca="1">SUM(VALUE(TRIM(MID(SUBSTITUTE(I5,",",REPT(" ",100)),(ROW(INDIRECT("1:3"))-1)*100+1,100))))</f>
        <v>3473</v>
      </c>
      <c r="K5" s="8" t="s">
        <v>18</v>
      </c>
      <c r="L5" s="8" t="s">
        <v>18</v>
      </c>
    </row>
    <row r="6" spans="1:12" ht="15.95">
      <c r="A6" s="18" t="s">
        <v>40</v>
      </c>
      <c r="B6" s="19" t="s">
        <v>18</v>
      </c>
      <c r="C6" s="17" t="s">
        <v>18</v>
      </c>
      <c r="D6" s="7" t="s">
        <v>18</v>
      </c>
      <c r="E6" s="10">
        <v>0.89200000000000002</v>
      </c>
      <c r="F6" s="10">
        <v>0.77500000000000002</v>
      </c>
      <c r="G6" s="10">
        <v>0.84499999999999997</v>
      </c>
      <c r="H6" s="10">
        <v>6</v>
      </c>
      <c r="I6" s="10" t="s">
        <v>421</v>
      </c>
      <c r="J6" s="10" cm="1">
        <f t="array" aca="1" ref="J6" ca="1">SUM(VALUE(TRIM(MID(SUBSTITUTE(I6,",",REPT(" ",100)),(ROW(INDIRECT("1:3"))-1)*100+1,100))))</f>
        <v>3203</v>
      </c>
      <c r="K6" s="8" t="s">
        <v>18</v>
      </c>
      <c r="L6" s="8" t="s">
        <v>18</v>
      </c>
    </row>
    <row r="7" spans="1:12" ht="15.95">
      <c r="A7" s="18" t="s">
        <v>48</v>
      </c>
      <c r="B7" s="20" t="s">
        <v>18</v>
      </c>
      <c r="C7" s="17" t="s">
        <v>18</v>
      </c>
      <c r="D7" s="7" t="s">
        <v>18</v>
      </c>
      <c r="E7" s="10">
        <v>0.71</v>
      </c>
      <c r="F7" s="10">
        <v>0.55900000000000005</v>
      </c>
      <c r="G7" s="10">
        <v>0.64900000000000002</v>
      </c>
      <c r="H7" s="10">
        <v>5.4</v>
      </c>
      <c r="I7" s="10" t="s">
        <v>422</v>
      </c>
      <c r="J7" s="11">
        <v>2541</v>
      </c>
      <c r="K7" s="9" t="s">
        <v>18</v>
      </c>
      <c r="L7" s="9" t="s">
        <v>18</v>
      </c>
    </row>
    <row r="8" spans="1:12" ht="15.95">
      <c r="A8" s="18" t="s">
        <v>56</v>
      </c>
      <c r="B8" s="19" t="s">
        <v>18</v>
      </c>
      <c r="C8" s="17" t="s">
        <v>18</v>
      </c>
      <c r="D8" s="7" t="s">
        <v>18</v>
      </c>
      <c r="E8" s="10">
        <v>0.86</v>
      </c>
      <c r="F8" s="10">
        <v>0.751</v>
      </c>
      <c r="G8" s="10">
        <v>0.81699999999999995</v>
      </c>
      <c r="H8" s="10">
        <v>5.5</v>
      </c>
      <c r="I8" s="10" t="s">
        <v>423</v>
      </c>
      <c r="J8" s="10" cm="1">
        <f t="array" aca="1" ref="J8" ca="1">SUM(VALUE(TRIM(MID(SUBSTITUTE(I8,",",REPT(" ",100)),(ROW(INDIRECT("1:3"))-1)*100+1,100))))</f>
        <v>2818</v>
      </c>
      <c r="K8" s="8" t="s">
        <v>18</v>
      </c>
      <c r="L8" s="8" t="s">
        <v>18</v>
      </c>
    </row>
    <row r="9" spans="1:12" ht="15.95">
      <c r="A9" s="18" t="s">
        <v>58</v>
      </c>
      <c r="B9" s="19" t="s">
        <v>18</v>
      </c>
      <c r="C9" s="17" t="s">
        <v>18</v>
      </c>
      <c r="D9" s="7" t="s">
        <v>18</v>
      </c>
      <c r="E9" s="10">
        <v>0.84899999999999998</v>
      </c>
      <c r="F9" s="10">
        <v>0.76</v>
      </c>
      <c r="G9" s="10">
        <v>0.81399999999999995</v>
      </c>
      <c r="H9" s="10">
        <v>6.9</v>
      </c>
      <c r="I9" s="10" t="s">
        <v>424</v>
      </c>
      <c r="J9" s="10" cm="1">
        <f t="array" aca="1" ref="J9" ca="1">SUM(VALUE(TRIM(MID(SUBSTITUTE(I9,",",REPT(" ",100)),(ROW(INDIRECT("1:3"))-1)*100+1,100))))</f>
        <v>3103</v>
      </c>
      <c r="K9" s="8" t="s">
        <v>18</v>
      </c>
      <c r="L9" s="8" t="s">
        <v>18</v>
      </c>
    </row>
    <row r="10" spans="1:12" ht="15.95">
      <c r="A10" s="18" t="s">
        <v>60</v>
      </c>
      <c r="B10" s="19" t="s">
        <v>18</v>
      </c>
      <c r="C10" s="17" t="s">
        <v>18</v>
      </c>
      <c r="D10" s="7" t="s">
        <v>18</v>
      </c>
      <c r="E10" s="10">
        <v>0.86</v>
      </c>
      <c r="F10" s="10">
        <v>0.77900000000000003</v>
      </c>
      <c r="G10" s="10">
        <v>0.82799999999999996</v>
      </c>
      <c r="H10" s="10">
        <v>5.9</v>
      </c>
      <c r="I10" s="10" t="s">
        <v>425</v>
      </c>
      <c r="J10" s="10" cm="1">
        <f t="array" aca="1" ref="J10" ca="1">SUM(VALUE(TRIM(MID(SUBSTITUTE(I10,",",REPT(" ",100)),(ROW(INDIRECT("1:3"))-1)*100+1,100))))</f>
        <v>2659</v>
      </c>
      <c r="K10" s="8" t="s">
        <v>18</v>
      </c>
      <c r="L10" s="8" t="s">
        <v>18</v>
      </c>
    </row>
    <row r="11" spans="1:12" ht="15.95">
      <c r="A11" s="18" t="s">
        <v>62</v>
      </c>
      <c r="B11" s="20" t="s">
        <v>18</v>
      </c>
      <c r="C11" s="17" t="s">
        <v>18</v>
      </c>
      <c r="D11" s="7" t="s">
        <v>18</v>
      </c>
      <c r="E11" s="10">
        <v>0.78500000000000003</v>
      </c>
      <c r="F11" s="10">
        <v>0.71</v>
      </c>
      <c r="G11" s="10">
        <v>0.755</v>
      </c>
      <c r="H11" s="10">
        <v>8.4</v>
      </c>
      <c r="I11" s="10" t="s">
        <v>426</v>
      </c>
      <c r="J11" s="10" cm="1">
        <f t="array" aca="1" ref="J11" ca="1">SUM(VALUE(TRIM(MID(SUBSTITUTE(I11,",",REPT(" ",100)),(ROW(INDIRECT("1:3"))-1)*100+1,100))))</f>
        <v>2667</v>
      </c>
      <c r="K11" s="9" t="s">
        <v>18</v>
      </c>
      <c r="L11" s="9" t="s">
        <v>18</v>
      </c>
    </row>
    <row r="12" spans="1:12" ht="15.95">
      <c r="A12" s="18" t="s">
        <v>64</v>
      </c>
      <c r="B12" s="19" t="s">
        <v>18</v>
      </c>
      <c r="C12" s="17" t="s">
        <v>18</v>
      </c>
      <c r="D12" s="7" t="s">
        <v>18</v>
      </c>
      <c r="E12" s="10">
        <v>0.86</v>
      </c>
      <c r="F12" s="10">
        <v>0.76300000000000001</v>
      </c>
      <c r="G12" s="10">
        <v>0.82099999999999995</v>
      </c>
      <c r="H12" s="10">
        <v>8.1999999999999993</v>
      </c>
      <c r="I12" s="10" t="s">
        <v>427</v>
      </c>
      <c r="J12" s="10" cm="1">
        <f t="array" aca="1" ref="J12" ca="1">SUM(VALUE(TRIM(MID(SUBSTITUTE(I12,",",REPT(" ",100)),(ROW(INDIRECT("1:3"))-1)*100+1,100))))</f>
        <v>2909</v>
      </c>
      <c r="K12" s="8" t="s">
        <v>18</v>
      </c>
      <c r="L12" s="8" t="s">
        <v>18</v>
      </c>
    </row>
    <row r="13" spans="1:12" ht="15.95">
      <c r="A13" s="18" t="s">
        <v>66</v>
      </c>
      <c r="B13" s="19" t="s">
        <v>18</v>
      </c>
      <c r="C13" s="17" t="s">
        <v>18</v>
      </c>
      <c r="D13" s="7" t="s">
        <v>18</v>
      </c>
      <c r="E13" s="10">
        <v>0.871</v>
      </c>
      <c r="F13" s="10">
        <v>0.77400000000000002</v>
      </c>
      <c r="G13" s="10">
        <v>0.83199999999999996</v>
      </c>
      <c r="H13" s="10">
        <v>9.6</v>
      </c>
      <c r="I13" s="10" t="s">
        <v>428</v>
      </c>
      <c r="J13" s="10" cm="1">
        <f t="array" aca="1" ref="J13" ca="1">SUM(VALUE(TRIM(MID(SUBSTITUTE(I13,",",REPT(" ",100)),(ROW(INDIRECT("1:3"))-1)*100+1,100))))</f>
        <v>3278</v>
      </c>
      <c r="K13" s="8" t="s">
        <v>18</v>
      </c>
      <c r="L13" s="8" t="s">
        <v>18</v>
      </c>
    </row>
    <row r="14" spans="1:12" ht="15.95">
      <c r="A14" s="18" t="s">
        <v>68</v>
      </c>
      <c r="B14" s="19" t="s">
        <v>18</v>
      </c>
      <c r="C14" s="17" t="s">
        <v>18</v>
      </c>
      <c r="D14" s="7" t="s">
        <v>18</v>
      </c>
      <c r="E14" s="10">
        <v>0.871</v>
      </c>
      <c r="F14" s="10">
        <v>0.80200000000000005</v>
      </c>
      <c r="G14" s="10">
        <v>0.84299999999999997</v>
      </c>
      <c r="H14" s="10">
        <v>9.3000000000000007</v>
      </c>
      <c r="I14" s="10" t="s">
        <v>429</v>
      </c>
      <c r="J14" s="10" cm="1">
        <f t="array" aca="1" ref="J14" ca="1">SUM(VALUE(TRIM(MID(SUBSTITUTE(I14,",",REPT(" ",100)),(ROW(INDIRECT("1:3"))-1)*100+1,100))))</f>
        <v>2623</v>
      </c>
      <c r="K14" s="8" t="s">
        <v>18</v>
      </c>
      <c r="L14" s="8" t="s">
        <v>18</v>
      </c>
    </row>
    <row r="15" spans="1:12" ht="15.95">
      <c r="A15" s="18" t="s">
        <v>70</v>
      </c>
      <c r="B15" s="20" t="s">
        <v>18</v>
      </c>
      <c r="C15" s="17" t="s">
        <v>18</v>
      </c>
      <c r="D15" s="7" t="s">
        <v>18</v>
      </c>
      <c r="E15" s="10">
        <v>0.871</v>
      </c>
      <c r="F15" s="10">
        <v>0.72499999999999998</v>
      </c>
      <c r="G15" s="10">
        <v>0.81299999999999994</v>
      </c>
      <c r="H15" s="10">
        <v>8</v>
      </c>
      <c r="I15" s="10" t="s">
        <v>430</v>
      </c>
      <c r="J15" s="61" cm="1">
        <f t="array" aca="1" ref="J15" ca="1">SUM(VALUE(TRIM(MID(SUBSTITUTE(I15,",",REPT(" ",100)),(ROW(INDIRECT("1:3"))-1)*100+1,100))))</f>
        <v>2441</v>
      </c>
      <c r="K15" s="9" t="s">
        <v>18</v>
      </c>
      <c r="L15" s="9" t="s">
        <v>18</v>
      </c>
    </row>
    <row r="16" spans="1:12" ht="15.95">
      <c r="A16" s="18" t="s">
        <v>72</v>
      </c>
      <c r="B16" s="19" t="s">
        <v>18</v>
      </c>
      <c r="C16" s="17" t="s">
        <v>18</v>
      </c>
      <c r="D16" s="7" t="s">
        <v>18</v>
      </c>
      <c r="E16" s="10">
        <v>0.90300000000000002</v>
      </c>
      <c r="F16" s="10">
        <v>0.83</v>
      </c>
      <c r="G16" s="10">
        <v>0.874</v>
      </c>
      <c r="H16" s="10">
        <v>8.5</v>
      </c>
      <c r="I16" s="10" t="s">
        <v>431</v>
      </c>
      <c r="J16" s="10" cm="1">
        <f t="array" aca="1" ref="J16" ca="1">SUM(VALUE(TRIM(MID(SUBSTITUTE(I16,",",REPT(" ",100)),(ROW(INDIRECT("1:3"))-1)*100+1,100))))</f>
        <v>2715</v>
      </c>
      <c r="K16" s="8" t="s">
        <v>18</v>
      </c>
      <c r="L16" s="8" t="s">
        <v>18</v>
      </c>
    </row>
    <row r="17" spans="1:13" ht="15.95">
      <c r="A17" s="18" t="s">
        <v>74</v>
      </c>
      <c r="B17" s="19" t="s">
        <v>18</v>
      </c>
      <c r="C17" s="17" t="s">
        <v>18</v>
      </c>
      <c r="D17" s="7" t="s">
        <v>18</v>
      </c>
      <c r="E17" s="10">
        <v>0.83899999999999997</v>
      </c>
      <c r="F17" s="10">
        <v>0.746</v>
      </c>
      <c r="G17" s="10">
        <v>0.80200000000000005</v>
      </c>
      <c r="H17" s="10">
        <v>10.3</v>
      </c>
      <c r="I17" s="10" t="s">
        <v>432</v>
      </c>
      <c r="J17" s="10" cm="1">
        <f t="array" aca="1" ref="J17" ca="1">SUM(VALUE(TRIM(MID(SUBSTITUTE(I17,",",REPT(" ",100)),(ROW(INDIRECT("1:3"))-1)*100+1,100))))</f>
        <v>3031</v>
      </c>
      <c r="K17" s="8" t="s">
        <v>18</v>
      </c>
      <c r="L17" s="8" t="s">
        <v>18</v>
      </c>
    </row>
    <row r="18" spans="1:13" ht="15.95">
      <c r="A18" s="18" t="s">
        <v>76</v>
      </c>
      <c r="B18" s="19" t="s">
        <v>18</v>
      </c>
      <c r="C18" s="7" t="s">
        <v>18</v>
      </c>
      <c r="D18" s="7" t="s">
        <v>18</v>
      </c>
      <c r="E18" s="10">
        <v>0.92500000000000004</v>
      </c>
      <c r="F18" s="10">
        <v>0.86499999999999999</v>
      </c>
      <c r="G18" s="61">
        <v>0.90100000000000002</v>
      </c>
      <c r="H18" s="10">
        <v>9.1</v>
      </c>
      <c r="I18" s="10" t="s">
        <v>433</v>
      </c>
      <c r="J18" s="10" cm="1">
        <f t="array" aca="1" ref="J18" ca="1">SUM(VALUE(TRIM(MID(SUBSTITUTE(I18,",",REPT(" ",100)),(ROW(INDIRECT("1:3"))-1)*100+1,100))))</f>
        <v>2550</v>
      </c>
      <c r="K18" s="8" t="s">
        <v>18</v>
      </c>
      <c r="L18" s="8" t="s">
        <v>18</v>
      </c>
    </row>
    <row r="19" spans="1:13" ht="15.95">
      <c r="A19" s="18" t="s">
        <v>78</v>
      </c>
      <c r="B19" s="20" t="s">
        <v>18</v>
      </c>
      <c r="C19" s="17" t="s">
        <v>18</v>
      </c>
      <c r="D19" s="7" t="s">
        <v>18</v>
      </c>
      <c r="E19" s="10">
        <v>0.90300000000000002</v>
      </c>
      <c r="F19" s="10">
        <v>0.85699999999999998</v>
      </c>
      <c r="G19" s="10">
        <v>0.88500000000000001</v>
      </c>
      <c r="H19" s="10">
        <v>9.3000000000000007</v>
      </c>
      <c r="I19" s="10" t="s">
        <v>434</v>
      </c>
      <c r="J19" s="10" cm="1">
        <f t="array" aca="1" ref="J19" ca="1">SUM(VALUE(TRIM(MID(SUBSTITUTE(I19,",",REPT(" ",100)),(ROW(INDIRECT("1:3"))-1)*100+1,100))))</f>
        <v>2589</v>
      </c>
      <c r="K19" s="9" t="s">
        <v>18</v>
      </c>
      <c r="L19" s="9" t="s">
        <v>18</v>
      </c>
    </row>
    <row r="20" spans="1:13" ht="15.95">
      <c r="A20" s="18" t="s">
        <v>80</v>
      </c>
      <c r="B20" s="19" t="s">
        <v>18</v>
      </c>
      <c r="C20" s="17" t="s">
        <v>18</v>
      </c>
      <c r="D20" s="7" t="s">
        <v>18</v>
      </c>
      <c r="E20" s="10">
        <v>0.89200000000000002</v>
      </c>
      <c r="F20" s="10">
        <v>0.82799999999999996</v>
      </c>
      <c r="G20" s="10">
        <v>0.86699999999999999</v>
      </c>
      <c r="H20" s="10">
        <v>9.4</v>
      </c>
      <c r="I20" s="10" t="s">
        <v>435</v>
      </c>
      <c r="J20" s="10" cm="1">
        <f t="array" aca="1" ref="J20" ca="1">SUM(VALUE(TRIM(MID(SUBSTITUTE(I20,",",REPT(" ",100)),(ROW(INDIRECT("1:3"))-1)*100+1,100))))</f>
        <v>2855</v>
      </c>
      <c r="K20" s="8" t="s">
        <v>18</v>
      </c>
      <c r="L20" s="8" t="s">
        <v>18</v>
      </c>
    </row>
    <row r="21" spans="1:13" ht="15.95">
      <c r="A21" s="18" t="s">
        <v>82</v>
      </c>
      <c r="B21" s="19" t="s">
        <v>18</v>
      </c>
      <c r="C21" s="17" t="s">
        <v>18</v>
      </c>
      <c r="D21" s="7" t="s">
        <v>18</v>
      </c>
      <c r="E21" s="10">
        <v>0.91400000000000003</v>
      </c>
      <c r="F21" s="10">
        <v>0.86</v>
      </c>
      <c r="G21" s="10">
        <v>0.89300000000000002</v>
      </c>
      <c r="H21" s="10">
        <v>11.4</v>
      </c>
      <c r="I21" s="10" t="s">
        <v>436</v>
      </c>
      <c r="J21" s="10" cm="1">
        <f t="array" aca="1" ref="J21" ca="1">SUM(VALUE(TRIM(MID(SUBSTITUTE(I21,",",REPT(" ",100)),(ROW(INDIRECT("1:3"))-1)*100+1,100))))</f>
        <v>3146</v>
      </c>
      <c r="K21" s="8" t="s">
        <v>18</v>
      </c>
      <c r="L21" s="8" t="s">
        <v>18</v>
      </c>
    </row>
    <row r="22" spans="1:13" ht="15.95">
      <c r="A22" s="18" t="s">
        <v>84</v>
      </c>
      <c r="B22" s="19" t="s">
        <v>18</v>
      </c>
      <c r="C22" s="7" t="s">
        <v>18</v>
      </c>
      <c r="D22" s="7" t="s">
        <v>18</v>
      </c>
      <c r="E22" s="10">
        <v>0.90300000000000002</v>
      </c>
      <c r="F22" s="10">
        <v>0.85299999999999998</v>
      </c>
      <c r="G22" s="10">
        <v>0.88300000000000001</v>
      </c>
      <c r="H22" s="10">
        <v>11.1</v>
      </c>
      <c r="I22" s="10" t="s">
        <v>433</v>
      </c>
      <c r="J22" s="10" cm="1">
        <f t="array" aca="1" ref="J22" ca="1">SUM(VALUE(TRIM(MID(SUBSTITUTE(I22,",",REPT(" ",100)),(ROW(INDIRECT("1:3"))-1)*100+1,100))))</f>
        <v>2550</v>
      </c>
      <c r="K22" s="8" t="s">
        <v>18</v>
      </c>
      <c r="L22" s="8" t="s">
        <v>18</v>
      </c>
    </row>
    <row r="23" spans="1:13" ht="29.25" customHeight="1">
      <c r="A23" s="121" t="s">
        <v>86</v>
      </c>
      <c r="B23" s="21" t="s">
        <v>87</v>
      </c>
      <c r="C23" s="5" t="s">
        <v>88</v>
      </c>
      <c r="D23" s="83"/>
      <c r="E23" s="84">
        <v>0.89200000000000002</v>
      </c>
      <c r="F23" s="23">
        <v>0.81499999999999995</v>
      </c>
      <c r="G23" s="62">
        <v>0.86199999999999999</v>
      </c>
      <c r="H23" s="23">
        <v>12.8</v>
      </c>
      <c r="I23" s="23" t="s">
        <v>437</v>
      </c>
      <c r="J23" s="23" cm="1">
        <f t="array" aca="1" ref="J23" ca="1">SUM(VALUE(TRIM(MID(SUBSTITUTE(I23,",",REPT(" ",100)),(ROW(INDIRECT("1:3"))-1)*100+1,100))))</f>
        <v>11872</v>
      </c>
      <c r="K23" s="6" t="s">
        <v>438</v>
      </c>
      <c r="L23" s="6" t="s">
        <v>91</v>
      </c>
    </row>
    <row r="24" spans="1:13">
      <c r="A24" s="121"/>
      <c r="B24" s="21" t="s">
        <v>87</v>
      </c>
      <c r="C24" s="5" t="s">
        <v>92</v>
      </c>
      <c r="D24" s="5" t="s">
        <v>88</v>
      </c>
      <c r="E24" s="23">
        <v>0.88</v>
      </c>
      <c r="F24" s="23">
        <v>0.78600000000000003</v>
      </c>
      <c r="G24" s="62">
        <v>0.84199999999999997</v>
      </c>
      <c r="H24" s="23">
        <v>9.4</v>
      </c>
      <c r="I24" s="23" t="s">
        <v>439</v>
      </c>
      <c r="J24" s="23" cm="1">
        <f t="array" aca="1" ref="J24" ca="1">SUM(VALUE(TRIM(MID(SUBSTITUTE(I24,",",REPT(" ",100)),(ROW(INDIRECT("1:3"))-1)*100+1,100))))</f>
        <v>6226</v>
      </c>
      <c r="K24" s="6" t="s">
        <v>440</v>
      </c>
      <c r="L24" s="6" t="s">
        <v>91</v>
      </c>
    </row>
    <row r="25" spans="1:13">
      <c r="A25" s="121"/>
      <c r="B25" s="21" t="s">
        <v>87</v>
      </c>
      <c r="C25" s="5" t="s">
        <v>92</v>
      </c>
      <c r="D25" s="83"/>
      <c r="E25" s="84">
        <v>0.89200000000000002</v>
      </c>
      <c r="F25" s="23">
        <v>0.78200000000000003</v>
      </c>
      <c r="G25" s="23">
        <v>0.84799999999999998</v>
      </c>
      <c r="H25" s="23">
        <v>9.1999999999999993</v>
      </c>
      <c r="I25" s="23" t="s">
        <v>441</v>
      </c>
      <c r="J25" s="23" cm="1">
        <f t="array" aca="1" ref="J25" ca="1">SUM(VALUE(TRIM(MID(SUBSTITUTE(I25,",",REPT(" ",100)),(ROW(INDIRECT("1:3"))-1)*100+1,100))))</f>
        <v>4864</v>
      </c>
      <c r="K25" s="6" t="s">
        <v>440</v>
      </c>
      <c r="L25" s="6" t="s">
        <v>91</v>
      </c>
    </row>
    <row r="26" spans="1:13">
      <c r="A26" s="121"/>
      <c r="B26" s="21" t="s">
        <v>87</v>
      </c>
      <c r="C26" s="5" t="s">
        <v>97</v>
      </c>
      <c r="D26" s="83"/>
      <c r="E26" s="84">
        <v>0.84899999999999998</v>
      </c>
      <c r="F26" s="23">
        <v>0.74299999999999999</v>
      </c>
      <c r="G26" s="23">
        <v>0.80700000000000005</v>
      </c>
      <c r="H26" s="23">
        <v>13.3</v>
      </c>
      <c r="I26" s="23" t="s">
        <v>442</v>
      </c>
      <c r="J26" s="23" cm="1">
        <f t="array" aca="1" ref="J26" ca="1">SUM(VALUE(TRIM(MID(SUBSTITUTE(I26,",",REPT(" ",100)),(ROW(INDIRECT("1:3"))-1)*100+1,100))))</f>
        <v>3043</v>
      </c>
      <c r="K26" s="6" t="s">
        <v>443</v>
      </c>
      <c r="L26" s="6" t="s">
        <v>100</v>
      </c>
    </row>
    <row r="27" spans="1:13">
      <c r="A27" s="121"/>
      <c r="B27" s="21" t="s">
        <v>87</v>
      </c>
      <c r="C27" s="5" t="s">
        <v>88</v>
      </c>
      <c r="D27" s="83"/>
      <c r="E27" s="84">
        <v>0.90300000000000002</v>
      </c>
      <c r="F27" s="23">
        <v>0.77100000000000002</v>
      </c>
      <c r="G27" s="62">
        <v>0.85</v>
      </c>
      <c r="H27" s="23">
        <v>6.3</v>
      </c>
      <c r="I27" s="23" t="s">
        <v>444</v>
      </c>
      <c r="J27" s="23" cm="1">
        <f t="array" aca="1" ref="J27" ca="1">SUM(VALUE(TRIM(MID(SUBSTITUTE(I27,",",REPT(" ",100)),(ROW(INDIRECT("1:3"))-1)*100+1,100))))</f>
        <v>2841</v>
      </c>
      <c r="K27" s="6" t="s">
        <v>104</v>
      </c>
      <c r="L27" s="6" t="s">
        <v>105</v>
      </c>
      <c r="M27" t="s">
        <v>106</v>
      </c>
    </row>
    <row r="28" spans="1:13">
      <c r="A28" s="121"/>
      <c r="B28" s="21" t="s">
        <v>87</v>
      </c>
      <c r="C28" s="5" t="s">
        <v>92</v>
      </c>
      <c r="D28" s="83"/>
      <c r="E28" s="84">
        <v>0.84899999999999998</v>
      </c>
      <c r="F28" s="23">
        <v>0.75600000000000001</v>
      </c>
      <c r="G28" s="23">
        <v>0.81200000000000006</v>
      </c>
      <c r="H28" s="23">
        <v>6.1</v>
      </c>
      <c r="I28" s="23" t="s">
        <v>445</v>
      </c>
      <c r="J28" s="23" cm="1">
        <f t="array" aca="1" ref="J28" ca="1">SUM(VALUE(TRIM(MID(SUBSTITUTE(I28,",",REPT(" ",100)),(ROW(INDIRECT("1:3"))-1)*100+1,100))))</f>
        <v>2940</v>
      </c>
      <c r="K28" s="6" t="s">
        <v>446</v>
      </c>
      <c r="L28" s="6" t="s">
        <v>143</v>
      </c>
    </row>
    <row r="29" spans="1:13">
      <c r="A29" s="121"/>
      <c r="B29" s="21" t="s">
        <v>87</v>
      </c>
      <c r="C29" s="5" t="s">
        <v>97</v>
      </c>
      <c r="D29" s="83"/>
      <c r="E29" s="84">
        <v>0.90300000000000002</v>
      </c>
      <c r="F29" s="40">
        <v>0.80700000000000005</v>
      </c>
      <c r="G29" s="22">
        <v>0.86499999999999999</v>
      </c>
      <c r="H29" s="23">
        <v>11.8</v>
      </c>
      <c r="I29" s="23" t="s">
        <v>447</v>
      </c>
      <c r="J29" s="23" cm="1">
        <f t="array" aca="1" ref="J29" ca="1">SUM(VALUE(TRIM(MID(SUBSTITUTE(I29,",",REPT(" ",100)),(ROW(INDIRECT("1:3"))-1)*100+1,100))))</f>
        <v>5539</v>
      </c>
      <c r="K29" s="6" t="s">
        <v>448</v>
      </c>
      <c r="L29" s="6" t="s">
        <v>146</v>
      </c>
    </row>
    <row r="30" spans="1:13" ht="29.25" customHeight="1">
      <c r="A30" s="121" t="s">
        <v>271</v>
      </c>
      <c r="B30" s="21" t="s">
        <v>272</v>
      </c>
      <c r="C30" s="5" t="s">
        <v>88</v>
      </c>
      <c r="D30" s="83"/>
      <c r="E30" s="84">
        <v>0.86</v>
      </c>
      <c r="F30" s="23">
        <v>0.75800000000000001</v>
      </c>
      <c r="G30" s="62">
        <v>0.81899999999999995</v>
      </c>
      <c r="H30" s="23">
        <v>15.1</v>
      </c>
      <c r="I30" s="23" t="s">
        <v>449</v>
      </c>
      <c r="J30" s="23" cm="1">
        <f t="array" aca="1" ref="J30" ca="1">SUM(VALUE(TRIM(MID(SUBSTITUTE(I30,",",REPT(" ",100)),(ROW(INDIRECT("1:3"))-1)*100+1,100))))</f>
        <v>12210</v>
      </c>
      <c r="K30" s="6" t="s">
        <v>450</v>
      </c>
      <c r="L30" s="6" t="s">
        <v>275</v>
      </c>
    </row>
    <row r="31" spans="1:13">
      <c r="A31" s="121"/>
      <c r="B31" s="21" t="s">
        <v>272</v>
      </c>
      <c r="C31" s="5" t="s">
        <v>92</v>
      </c>
      <c r="D31" s="83"/>
      <c r="E31" s="84">
        <v>0.88200000000000001</v>
      </c>
      <c r="F31" s="22">
        <v>0.83299999999999996</v>
      </c>
      <c r="G31" s="22">
        <v>0.86199999999999999</v>
      </c>
      <c r="H31" s="23">
        <v>13.7</v>
      </c>
      <c r="I31" s="23" t="s">
        <v>451</v>
      </c>
      <c r="J31" s="23" cm="1">
        <f t="array" aca="1" ref="J31" ca="1">SUM(VALUE(TRIM(MID(SUBSTITUTE(I31,",",REPT(" ",100)),(ROW(INDIRECT("1:3"))-1)*100+1,100))))</f>
        <v>9697</v>
      </c>
      <c r="K31" s="6" t="s">
        <v>452</v>
      </c>
      <c r="L31" s="6" t="s">
        <v>278</v>
      </c>
    </row>
    <row r="32" spans="1:13">
      <c r="A32" s="121"/>
      <c r="B32" s="21" t="s">
        <v>272</v>
      </c>
      <c r="C32" s="5" t="s">
        <v>97</v>
      </c>
      <c r="D32" s="83"/>
      <c r="E32" s="84">
        <v>0.90300000000000002</v>
      </c>
      <c r="F32" s="23">
        <v>0.81899999999999995</v>
      </c>
      <c r="G32" s="22">
        <v>0.87</v>
      </c>
      <c r="H32" s="23">
        <v>18.7</v>
      </c>
      <c r="I32" s="23" t="s">
        <v>453</v>
      </c>
      <c r="J32" s="23" cm="1">
        <f t="array" aca="1" ref="J32" ca="1">SUM(VALUE(TRIM(MID(SUBSTITUTE(I32,",",REPT(" ",100)),(ROW(INDIRECT("1:3"))-1)*100+1,100))))</f>
        <v>11423</v>
      </c>
      <c r="K32" s="6" t="s">
        <v>454</v>
      </c>
      <c r="L32" s="6" t="s">
        <v>281</v>
      </c>
    </row>
    <row r="33" spans="1:14">
      <c r="A33" s="121"/>
      <c r="B33" s="21" t="s">
        <v>272</v>
      </c>
      <c r="C33" s="5" t="s">
        <v>88</v>
      </c>
      <c r="D33" s="83"/>
      <c r="E33" s="85">
        <v>0.93500000000000005</v>
      </c>
      <c r="F33" s="23">
        <v>0.78600000000000003</v>
      </c>
      <c r="G33" s="62">
        <v>0.876</v>
      </c>
      <c r="H33" s="61">
        <v>6.3</v>
      </c>
      <c r="I33" s="23" t="s">
        <v>455</v>
      </c>
      <c r="J33" s="61" cm="1">
        <f t="array" aca="1" ref="J33" ca="1">SUM(VALUE(TRIM(MID(SUBSTITUTE(I33,",",REPT(" ",100)),(ROW(INDIRECT("1:3"))-1)*100+1,100))))</f>
        <v>2811</v>
      </c>
      <c r="K33" s="6" t="s">
        <v>456</v>
      </c>
      <c r="L33" s="6" t="s">
        <v>285</v>
      </c>
    </row>
    <row r="34" spans="1:14">
      <c r="A34" s="121"/>
      <c r="B34" s="21" t="s">
        <v>272</v>
      </c>
      <c r="C34" s="5" t="s">
        <v>92</v>
      </c>
      <c r="D34" s="83"/>
      <c r="E34" s="84">
        <v>0.871</v>
      </c>
      <c r="F34" s="23">
        <v>0.79400000000000004</v>
      </c>
      <c r="G34" s="22">
        <v>0.84</v>
      </c>
      <c r="H34" s="23">
        <v>13.3</v>
      </c>
      <c r="I34" s="23" t="s">
        <v>457</v>
      </c>
      <c r="J34" s="23" cm="1">
        <f t="array" aca="1" ref="J34" ca="1">SUM(VALUE(TRIM(MID(SUBSTITUTE(I34,",",REPT(" ",100)),(ROW(INDIRECT("1:3"))-1)*100+1,100))))</f>
        <v>9254</v>
      </c>
      <c r="K34" s="6" t="s">
        <v>458</v>
      </c>
      <c r="L34" s="6" t="s">
        <v>290</v>
      </c>
    </row>
    <row r="35" spans="1:14">
      <c r="A35" s="121"/>
      <c r="B35" s="21" t="s">
        <v>272</v>
      </c>
      <c r="C35" s="5" t="s">
        <v>97</v>
      </c>
      <c r="D35" s="83"/>
      <c r="E35" s="84">
        <v>0.90300000000000002</v>
      </c>
      <c r="F35" s="23">
        <v>0.83</v>
      </c>
      <c r="G35" s="22">
        <v>0.874</v>
      </c>
      <c r="H35" s="23">
        <v>12.1</v>
      </c>
      <c r="I35" s="23" t="s">
        <v>459</v>
      </c>
      <c r="J35" s="23" cm="1">
        <f t="array" aca="1" ref="J35" ca="1">SUM(VALUE(TRIM(MID(SUBSTITUTE(I35,",",REPT(" ",100)),(ROW(INDIRECT("1:3"))-1)*100+1,100))))</f>
        <v>5424</v>
      </c>
      <c r="K35" s="6" t="s">
        <v>460</v>
      </c>
      <c r="L35" s="6" t="s">
        <v>295</v>
      </c>
    </row>
    <row r="36" spans="1:14" ht="15" customHeight="1">
      <c r="A36" s="121" t="s">
        <v>296</v>
      </c>
      <c r="B36" s="21" t="s">
        <v>297</v>
      </c>
      <c r="C36" s="16" t="s">
        <v>88</v>
      </c>
      <c r="D36" s="86"/>
      <c r="E36" s="86"/>
      <c r="F36" s="40"/>
      <c r="G36" s="56"/>
      <c r="H36" s="40"/>
      <c r="I36" s="40"/>
      <c r="J36" s="40"/>
      <c r="K36" s="21"/>
      <c r="L36" s="21"/>
    </row>
    <row r="37" spans="1:14">
      <c r="A37" s="121"/>
      <c r="B37" s="21" t="s">
        <v>297</v>
      </c>
      <c r="C37" s="16" t="s">
        <v>92</v>
      </c>
      <c r="D37" s="86"/>
      <c r="E37" s="87">
        <v>0.89200000000000002</v>
      </c>
      <c r="F37" s="40">
        <v>0.80600000000000005</v>
      </c>
      <c r="G37" s="56">
        <v>0.85799999999999998</v>
      </c>
      <c r="H37" s="40">
        <v>10.199999999999999</v>
      </c>
      <c r="I37" s="40" t="s">
        <v>461</v>
      </c>
      <c r="J37" s="40" cm="1">
        <f t="array" aca="1" ref="J37" ca="1">SUM(VALUE(TRIM(MID(SUBSTITUTE(I37,",",REPT(" ",100)),(ROW(INDIRECT("1:3"))-1)*100+1,100))))</f>
        <v>9172</v>
      </c>
      <c r="K37" s="21" t="s">
        <v>462</v>
      </c>
      <c r="L37" s="21"/>
    </row>
    <row r="38" spans="1:14">
      <c r="A38" s="121"/>
      <c r="B38" s="21" t="s">
        <v>297</v>
      </c>
      <c r="C38" s="16" t="s">
        <v>97</v>
      </c>
      <c r="D38" s="86"/>
      <c r="E38" s="87">
        <v>0.871</v>
      </c>
      <c r="F38" s="40">
        <v>0.78500000000000003</v>
      </c>
      <c r="G38" s="56">
        <v>0.83699999999999997</v>
      </c>
      <c r="H38" s="40">
        <v>14.6</v>
      </c>
      <c r="I38" s="40" t="s">
        <v>463</v>
      </c>
      <c r="J38" s="40" cm="1">
        <f t="array" aca="1" ref="J38" ca="1">SUM(VALUE(TRIM(MID(SUBSTITUTE(I38,",",REPT(" ",100)),(ROW(INDIRECT("1:3"))-1)*100+1,100))))</f>
        <v>10623</v>
      </c>
      <c r="K38" s="21" t="s">
        <v>464</v>
      </c>
      <c r="L38" s="21"/>
    </row>
    <row r="39" spans="1:14" ht="15.6" customHeight="1">
      <c r="A39" s="121" t="s">
        <v>307</v>
      </c>
      <c r="B39" s="21" t="s">
        <v>308</v>
      </c>
      <c r="C39" s="5" t="s">
        <v>309</v>
      </c>
      <c r="D39" s="83"/>
      <c r="E39" s="84">
        <v>0.83899999999999997</v>
      </c>
      <c r="F39" s="23">
        <v>0.73199999999999998</v>
      </c>
      <c r="G39" s="22">
        <v>0.79600000000000004</v>
      </c>
      <c r="H39" s="23">
        <v>10.7</v>
      </c>
      <c r="I39" s="23" t="s">
        <v>465</v>
      </c>
      <c r="J39" s="23" cm="1">
        <f t="array" aca="1" ref="J39" ca="1">SUM(VALUE(TRIM(MID(SUBSTITUTE(I39,",",REPT(" ",100)),(ROW(INDIRECT("1:3"))-1)*100+1,100))))</f>
        <v>6882</v>
      </c>
      <c r="K39" s="6" t="s">
        <v>466</v>
      </c>
      <c r="L39" s="6" t="s">
        <v>311</v>
      </c>
      <c r="M39" t="s">
        <v>312</v>
      </c>
      <c r="N39" s="2"/>
    </row>
    <row r="40" spans="1:14">
      <c r="A40" s="121"/>
      <c r="B40" s="21" t="s">
        <v>308</v>
      </c>
      <c r="C40" s="5" t="s">
        <v>309</v>
      </c>
      <c r="D40" s="5" t="s">
        <v>313</v>
      </c>
      <c r="E40" s="23">
        <v>0.84899999999999998</v>
      </c>
      <c r="F40" s="23">
        <v>0.76700000000000002</v>
      </c>
      <c r="G40" s="22">
        <v>0.81699999999999995</v>
      </c>
      <c r="H40" s="23">
        <v>10.3</v>
      </c>
      <c r="I40" s="23" t="s">
        <v>467</v>
      </c>
      <c r="J40" s="23" cm="1">
        <f t="array" aca="1" ref="J40" ca="1">SUM(VALUE(TRIM(MID(SUBSTITUTE(I40,",",REPT(" ",100)),(ROW(INDIRECT("1:3"))-1)*100+1,100))))</f>
        <v>7555</v>
      </c>
      <c r="K40" s="6" t="s">
        <v>466</v>
      </c>
      <c r="L40" s="6" t="s">
        <v>311</v>
      </c>
      <c r="M40" t="s">
        <v>312</v>
      </c>
      <c r="N40" s="2"/>
    </row>
    <row r="41" spans="1:14" ht="15.6" customHeight="1">
      <c r="A41" s="121"/>
      <c r="B41" s="21" t="s">
        <v>315</v>
      </c>
      <c r="C41" s="75" t="s">
        <v>313</v>
      </c>
      <c r="D41" s="88"/>
      <c r="E41" s="84">
        <v>0.86</v>
      </c>
      <c r="F41" s="23">
        <v>0.77100000000000002</v>
      </c>
      <c r="G41" s="62">
        <v>0.82499999999999996</v>
      </c>
      <c r="H41" s="23">
        <v>12.1</v>
      </c>
      <c r="I41" s="23" t="s">
        <v>468</v>
      </c>
      <c r="J41" s="23">
        <v>16165</v>
      </c>
      <c r="K41" s="6" t="s">
        <v>469</v>
      </c>
      <c r="L41" s="6" t="s">
        <v>317</v>
      </c>
      <c r="M41" t="s">
        <v>318</v>
      </c>
      <c r="N41" s="2"/>
    </row>
    <row r="42" spans="1:14">
      <c r="A42" s="121"/>
      <c r="B42" s="21" t="s">
        <v>315</v>
      </c>
      <c r="C42" s="5" t="s">
        <v>313</v>
      </c>
      <c r="D42" s="5" t="s">
        <v>319</v>
      </c>
      <c r="E42" s="22">
        <v>0.92500000000000004</v>
      </c>
      <c r="F42" s="61">
        <v>0.85699999999999998</v>
      </c>
      <c r="G42" s="61">
        <v>0.89700000000000002</v>
      </c>
      <c r="H42" s="23">
        <v>12.8</v>
      </c>
      <c r="I42" s="23" t="s">
        <v>470</v>
      </c>
      <c r="J42" s="23">
        <v>11923</v>
      </c>
      <c r="K42" s="6" t="s">
        <v>469</v>
      </c>
      <c r="L42" s="6" t="s">
        <v>317</v>
      </c>
      <c r="N42" s="2"/>
    </row>
    <row r="43" spans="1:14">
      <c r="A43" s="121"/>
      <c r="B43" s="21" t="s">
        <v>315</v>
      </c>
      <c r="C43" s="5" t="s">
        <v>313</v>
      </c>
      <c r="D43" s="5" t="s">
        <v>97</v>
      </c>
      <c r="E43" s="22">
        <v>0.92500000000000004</v>
      </c>
      <c r="F43" s="61">
        <v>0.86</v>
      </c>
      <c r="G43" s="61">
        <v>0.89900000000000002</v>
      </c>
      <c r="H43" s="23">
        <v>18.8</v>
      </c>
      <c r="I43" s="24" t="s">
        <v>471</v>
      </c>
      <c r="J43" s="23">
        <v>12548</v>
      </c>
      <c r="K43" s="6" t="s">
        <v>469</v>
      </c>
      <c r="L43" s="6" t="s">
        <v>317</v>
      </c>
      <c r="N43" s="2"/>
    </row>
    <row r="44" spans="1:14">
      <c r="A44" s="15"/>
      <c r="B44" s="21"/>
      <c r="C44" s="5"/>
      <c r="D44" s="5"/>
      <c r="E44" s="22"/>
      <c r="F44" s="22"/>
      <c r="G44" s="22"/>
      <c r="H44" s="23"/>
      <c r="I44" s="24"/>
      <c r="J44" s="23"/>
      <c r="K44" s="6"/>
      <c r="L44" s="6"/>
      <c r="N44" s="2"/>
    </row>
    <row r="45" spans="1:14" ht="29.25" customHeight="1">
      <c r="A45" s="121" t="s">
        <v>344</v>
      </c>
      <c r="B45" s="21" t="s">
        <v>345</v>
      </c>
      <c r="C45" s="16" t="s">
        <v>319</v>
      </c>
      <c r="D45" s="16" t="s">
        <v>319</v>
      </c>
      <c r="E45" s="5">
        <v>0.87</v>
      </c>
      <c r="F45" s="5">
        <v>0.77</v>
      </c>
      <c r="G45" s="5">
        <v>0.83</v>
      </c>
      <c r="H45" s="5">
        <v>14.6</v>
      </c>
      <c r="I45" s="5" t="s">
        <v>472</v>
      </c>
      <c r="J45" s="5">
        <v>11196</v>
      </c>
      <c r="K45" s="6" t="s">
        <v>473</v>
      </c>
      <c r="L45" s="6" t="s">
        <v>347</v>
      </c>
      <c r="N45" s="2"/>
    </row>
    <row r="46" spans="1:14">
      <c r="A46" s="121"/>
      <c r="B46" s="21" t="s">
        <v>345</v>
      </c>
      <c r="C46" s="16" t="s">
        <v>319</v>
      </c>
      <c r="D46" s="5" t="s">
        <v>313</v>
      </c>
      <c r="E46" s="5">
        <v>0.9</v>
      </c>
      <c r="F46" s="5">
        <v>0.69</v>
      </c>
      <c r="G46" s="65">
        <v>0.82</v>
      </c>
      <c r="H46" s="5">
        <v>18.3</v>
      </c>
      <c r="I46" s="5" t="s">
        <v>474</v>
      </c>
      <c r="J46" s="5">
        <v>15195</v>
      </c>
      <c r="K46" s="6" t="s">
        <v>473</v>
      </c>
      <c r="L46" s="6" t="s">
        <v>347</v>
      </c>
      <c r="N46" s="2"/>
    </row>
    <row r="47" spans="1:14">
      <c r="A47" s="121"/>
      <c r="B47" s="21" t="s">
        <v>349</v>
      </c>
      <c r="C47" s="16" t="s">
        <v>319</v>
      </c>
      <c r="D47" s="16" t="s">
        <v>319</v>
      </c>
      <c r="E47" s="5">
        <v>0.871</v>
      </c>
      <c r="F47" s="5">
        <v>0.72199999999999998</v>
      </c>
      <c r="G47" s="5">
        <v>0.81100000000000005</v>
      </c>
      <c r="H47" s="5">
        <v>6.3</v>
      </c>
      <c r="I47" s="5" t="s">
        <v>475</v>
      </c>
      <c r="J47" s="5">
        <v>4798</v>
      </c>
      <c r="K47" s="6" t="s">
        <v>476</v>
      </c>
      <c r="L47" s="6" t="s">
        <v>351</v>
      </c>
      <c r="N47" s="2"/>
    </row>
    <row r="48" spans="1:14">
      <c r="A48" s="15"/>
      <c r="B48" s="21"/>
      <c r="C48" s="16"/>
      <c r="D48" s="5"/>
      <c r="E48" s="5"/>
      <c r="F48" s="5"/>
      <c r="G48" s="5"/>
      <c r="H48" s="5"/>
      <c r="I48" s="5"/>
      <c r="J48" s="5"/>
      <c r="K48" s="6"/>
      <c r="L48" s="6"/>
      <c r="N48" s="2"/>
    </row>
    <row r="49" spans="1:16">
      <c r="A49" s="15"/>
      <c r="B49" s="21"/>
      <c r="C49" s="16"/>
      <c r="D49" s="5"/>
      <c r="E49" s="5"/>
      <c r="F49" s="5"/>
      <c r="G49" s="5"/>
      <c r="H49" s="5"/>
      <c r="I49" s="5"/>
      <c r="J49" s="5"/>
      <c r="K49" s="6"/>
      <c r="L49" s="6"/>
      <c r="N49" s="2"/>
    </row>
    <row r="50" spans="1:16" ht="15.95">
      <c r="A50" s="108" t="s">
        <v>477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10"/>
      <c r="N50" s="2"/>
    </row>
    <row r="51" spans="1:16" ht="15.95">
      <c r="A51" s="46" t="s">
        <v>353</v>
      </c>
      <c r="B51" s="78" t="s">
        <v>354</v>
      </c>
      <c r="C51" s="79" t="s">
        <v>309</v>
      </c>
      <c r="D51" s="79" t="s">
        <v>478</v>
      </c>
      <c r="E51" s="79">
        <v>0.87</v>
      </c>
      <c r="F51" s="79">
        <v>0.78</v>
      </c>
      <c r="G51" s="79">
        <v>0.84</v>
      </c>
      <c r="H51" s="79">
        <v>6.4</v>
      </c>
      <c r="I51" s="79" t="s">
        <v>479</v>
      </c>
      <c r="J51" s="80">
        <v>3303</v>
      </c>
      <c r="K51" s="81" t="s">
        <v>357</v>
      </c>
      <c r="L51" s="78"/>
    </row>
    <row r="52" spans="1:16" ht="15.95">
      <c r="A52" s="46" t="s">
        <v>353</v>
      </c>
      <c r="B52" s="78" t="s">
        <v>354</v>
      </c>
      <c r="C52" s="79" t="s">
        <v>309</v>
      </c>
      <c r="D52" s="79" t="s">
        <v>359</v>
      </c>
      <c r="E52" s="106">
        <v>0.93</v>
      </c>
      <c r="F52" s="79">
        <v>0.85</v>
      </c>
      <c r="G52" s="79">
        <v>0.9</v>
      </c>
      <c r="H52" s="79">
        <v>6</v>
      </c>
      <c r="I52" s="79" t="s">
        <v>480</v>
      </c>
      <c r="J52" s="80">
        <v>3652</v>
      </c>
      <c r="K52" s="81" t="s">
        <v>357</v>
      </c>
      <c r="L52" s="78"/>
    </row>
    <row r="53" spans="1:16" ht="15.95">
      <c r="A53" s="93" t="s">
        <v>361</v>
      </c>
      <c r="B53" s="94" t="s">
        <v>362</v>
      </c>
      <c r="C53" s="95" t="s">
        <v>309</v>
      </c>
      <c r="D53" s="95" t="s">
        <v>478</v>
      </c>
      <c r="E53" s="96">
        <v>0.88</v>
      </c>
      <c r="F53" s="96">
        <v>0.81</v>
      </c>
      <c r="G53" s="96">
        <v>0.85</v>
      </c>
      <c r="H53" s="96">
        <v>6.3</v>
      </c>
      <c r="I53" s="96" t="s">
        <v>481</v>
      </c>
      <c r="J53" s="96">
        <v>3109</v>
      </c>
      <c r="K53" s="97" t="s">
        <v>482</v>
      </c>
      <c r="L53" s="97"/>
      <c r="N53" s="2"/>
    </row>
    <row r="54" spans="1:16" ht="15.95">
      <c r="A54" s="15" t="s">
        <v>361</v>
      </c>
      <c r="B54" s="78" t="s">
        <v>362</v>
      </c>
      <c r="C54" s="79" t="s">
        <v>309</v>
      </c>
      <c r="D54" s="79" t="s">
        <v>313</v>
      </c>
      <c r="E54" s="107">
        <v>0.93</v>
      </c>
      <c r="F54" s="5">
        <v>0.83</v>
      </c>
      <c r="G54" s="5">
        <v>0.89</v>
      </c>
      <c r="H54" s="5">
        <v>5.4</v>
      </c>
      <c r="I54" s="5" t="s">
        <v>483</v>
      </c>
      <c r="J54" s="5">
        <v>3466</v>
      </c>
      <c r="K54" s="6" t="s">
        <v>482</v>
      </c>
      <c r="L54" s="97"/>
      <c r="N54" s="2"/>
    </row>
    <row r="55" spans="1:16" ht="15.95">
      <c r="A55" s="46" t="s">
        <v>361</v>
      </c>
      <c r="B55" s="78" t="s">
        <v>367</v>
      </c>
      <c r="C55" s="79" t="s">
        <v>319</v>
      </c>
      <c r="D55" s="79" t="s">
        <v>319</v>
      </c>
      <c r="E55" s="79">
        <v>0.88</v>
      </c>
      <c r="F55" s="79">
        <v>0.78</v>
      </c>
      <c r="G55" s="79">
        <v>0.84</v>
      </c>
      <c r="H55" s="79">
        <v>5.5</v>
      </c>
      <c r="I55" s="79" t="s">
        <v>484</v>
      </c>
      <c r="J55" s="98">
        <v>3147</v>
      </c>
      <c r="K55" s="99" t="s">
        <v>370</v>
      </c>
      <c r="L55" s="80"/>
      <c r="P55" s="14"/>
    </row>
    <row r="56" spans="1:16" ht="15.95">
      <c r="A56" s="46" t="s">
        <v>361</v>
      </c>
      <c r="B56" s="78" t="s">
        <v>367</v>
      </c>
      <c r="C56" s="79" t="s">
        <v>319</v>
      </c>
      <c r="D56" s="79" t="s">
        <v>313</v>
      </c>
      <c r="E56" s="79">
        <v>0.84</v>
      </c>
      <c r="F56" s="79">
        <v>0.78</v>
      </c>
      <c r="G56" s="79">
        <v>0.82</v>
      </c>
      <c r="H56" s="79">
        <v>5.7</v>
      </c>
      <c r="I56" s="79" t="s">
        <v>485</v>
      </c>
      <c r="J56" s="98">
        <v>3499</v>
      </c>
      <c r="K56" s="99" t="s">
        <v>370</v>
      </c>
      <c r="L56" s="80"/>
      <c r="N56" s="2"/>
    </row>
    <row r="57" spans="1:16" ht="15.95">
      <c r="A57" s="46" t="s">
        <v>361</v>
      </c>
      <c r="B57" s="78" t="s">
        <v>373</v>
      </c>
      <c r="C57" s="79" t="s">
        <v>374</v>
      </c>
      <c r="D57" s="79" t="s">
        <v>313</v>
      </c>
      <c r="E57" s="107">
        <v>0.94</v>
      </c>
      <c r="F57" s="5">
        <v>0.86</v>
      </c>
      <c r="G57" s="5">
        <v>0.91</v>
      </c>
      <c r="H57" s="5">
        <v>6.1</v>
      </c>
      <c r="I57" s="5" t="s">
        <v>486</v>
      </c>
      <c r="J57" s="5">
        <v>3546</v>
      </c>
      <c r="K57" s="6" t="s">
        <v>376</v>
      </c>
      <c r="L57" s="6"/>
      <c r="N57" s="2"/>
    </row>
    <row r="58" spans="1:16">
      <c r="A58" s="46"/>
      <c r="B58" s="78"/>
      <c r="C58" s="79"/>
      <c r="D58" s="79"/>
      <c r="E58" s="5"/>
      <c r="F58" s="5"/>
      <c r="G58" s="5"/>
      <c r="H58" s="5"/>
      <c r="I58" s="5"/>
      <c r="J58" s="5"/>
      <c r="K58" s="6"/>
      <c r="L58" s="6"/>
      <c r="N58" s="2"/>
    </row>
    <row r="59" spans="1:16" ht="15.95">
      <c r="A59" s="46" t="s">
        <v>378</v>
      </c>
      <c r="B59" s="78"/>
      <c r="C59" s="79"/>
      <c r="D59" s="79"/>
      <c r="E59" s="5"/>
      <c r="F59" s="5"/>
      <c r="G59" s="5"/>
      <c r="H59" s="5"/>
      <c r="I59" s="5"/>
      <c r="J59" s="5"/>
      <c r="K59" s="6"/>
      <c r="L59" s="6"/>
      <c r="N59" s="2"/>
    </row>
    <row r="60" spans="1:16" ht="15.95">
      <c r="A60" s="46" t="s">
        <v>361</v>
      </c>
      <c r="B60" s="78" t="s">
        <v>367</v>
      </c>
      <c r="C60" s="79" t="s">
        <v>374</v>
      </c>
      <c r="D60" s="79" t="s">
        <v>313</v>
      </c>
      <c r="E60" s="111">
        <v>0.93</v>
      </c>
      <c r="F60" s="5">
        <v>0.84</v>
      </c>
      <c r="G60" s="5">
        <v>0.89</v>
      </c>
      <c r="H60" s="5">
        <v>6.3</v>
      </c>
      <c r="I60" s="5" t="s">
        <v>487</v>
      </c>
      <c r="J60" s="5">
        <v>3295</v>
      </c>
      <c r="K60" s="6" t="s">
        <v>380</v>
      </c>
      <c r="L60" s="6" t="s">
        <v>488</v>
      </c>
      <c r="N60" s="2"/>
    </row>
    <row r="61" spans="1:16" ht="15.95">
      <c r="A61" s="46" t="s">
        <v>361</v>
      </c>
      <c r="B61" s="78" t="s">
        <v>367</v>
      </c>
      <c r="C61" s="79" t="s">
        <v>374</v>
      </c>
      <c r="D61" s="79" t="s">
        <v>313</v>
      </c>
      <c r="E61" s="5">
        <v>0.76300000000000001</v>
      </c>
      <c r="F61" s="5">
        <v>0.76800000000000002</v>
      </c>
      <c r="G61" s="5">
        <v>0.76500000000000001</v>
      </c>
      <c r="H61" s="5">
        <v>6.2</v>
      </c>
      <c r="I61" s="5" t="s">
        <v>489</v>
      </c>
      <c r="J61" s="5">
        <v>3674</v>
      </c>
      <c r="K61" s="6" t="s">
        <v>383</v>
      </c>
      <c r="L61" s="6" t="s">
        <v>384</v>
      </c>
      <c r="N61" s="2"/>
    </row>
    <row r="62" spans="1:16" ht="15.95">
      <c r="A62" s="46" t="s">
        <v>361</v>
      </c>
      <c r="B62" s="78" t="s">
        <v>367</v>
      </c>
      <c r="C62" s="79" t="s">
        <v>374</v>
      </c>
      <c r="D62" s="79" t="s">
        <v>313</v>
      </c>
      <c r="E62" s="5">
        <v>0.89200000000000002</v>
      </c>
      <c r="F62" s="5">
        <v>0.78700000000000003</v>
      </c>
      <c r="G62" s="5">
        <v>0.85</v>
      </c>
      <c r="H62" s="5">
        <v>8.9</v>
      </c>
      <c r="I62" s="5" t="s">
        <v>490</v>
      </c>
      <c r="J62" s="5">
        <v>5214</v>
      </c>
      <c r="K62" s="78" t="s">
        <v>386</v>
      </c>
      <c r="L62" s="6" t="s">
        <v>387</v>
      </c>
      <c r="N62" s="2"/>
    </row>
    <row r="63" spans="1:16">
      <c r="A63" s="46"/>
      <c r="B63" s="78"/>
      <c r="C63" s="79"/>
      <c r="D63" s="79"/>
      <c r="E63" s="5"/>
      <c r="F63" s="5"/>
      <c r="G63" s="5"/>
      <c r="H63" s="5"/>
      <c r="I63" s="5"/>
      <c r="J63" s="5"/>
      <c r="K63" s="6"/>
      <c r="L63" s="6"/>
      <c r="N63" s="2"/>
    </row>
    <row r="64" spans="1:16" ht="32.1">
      <c r="A64" s="46" t="s">
        <v>389</v>
      </c>
      <c r="B64" s="78"/>
      <c r="C64" s="79"/>
      <c r="D64" s="79"/>
      <c r="E64" s="5"/>
      <c r="F64" s="5"/>
      <c r="G64" s="5"/>
      <c r="H64" s="5"/>
      <c r="I64" s="5"/>
      <c r="J64" s="5"/>
      <c r="K64" s="6"/>
      <c r="L64" s="6"/>
      <c r="N64" s="2"/>
    </row>
    <row r="65" spans="1:14" ht="15.95">
      <c r="A65" s="46" t="s">
        <v>390</v>
      </c>
      <c r="B65" s="78" t="s">
        <v>391</v>
      </c>
      <c r="C65" s="79"/>
      <c r="D65" s="105" t="s">
        <v>313</v>
      </c>
      <c r="E65" s="5">
        <v>0.93500000000000005</v>
      </c>
      <c r="F65" s="5">
        <v>0.82499999999999996</v>
      </c>
      <c r="G65" s="5">
        <v>0.89100000000000001</v>
      </c>
      <c r="H65" s="5">
        <v>11.5</v>
      </c>
      <c r="I65" s="5" t="s">
        <v>491</v>
      </c>
      <c r="J65" s="5">
        <v>16900</v>
      </c>
      <c r="K65" s="78" t="s">
        <v>393</v>
      </c>
      <c r="L65" s="6"/>
      <c r="N65" s="2"/>
    </row>
    <row r="66" spans="1:14">
      <c r="A66" s="46"/>
      <c r="B66" s="78" t="s">
        <v>394</v>
      </c>
      <c r="C66" s="79"/>
      <c r="D66" s="105" t="s">
        <v>313</v>
      </c>
      <c r="E66" s="96">
        <v>0.91400000000000003</v>
      </c>
      <c r="F66" s="96">
        <v>0.82399999999999995</v>
      </c>
      <c r="G66" s="96">
        <v>0.878</v>
      </c>
      <c r="H66" s="96">
        <v>8.9</v>
      </c>
      <c r="I66" s="96" t="s">
        <v>492</v>
      </c>
      <c r="J66" s="96">
        <v>11302</v>
      </c>
      <c r="K66" s="78" t="s">
        <v>396</v>
      </c>
      <c r="L66" s="6"/>
      <c r="N66" s="2"/>
    </row>
    <row r="67" spans="1:14" ht="15.95">
      <c r="A67" s="46" t="s">
        <v>493</v>
      </c>
      <c r="B67" s="78" t="s">
        <v>394</v>
      </c>
      <c r="C67" s="79"/>
      <c r="D67" s="116" t="s">
        <v>313</v>
      </c>
      <c r="E67" s="115">
        <v>0.88</v>
      </c>
      <c r="F67" s="115">
        <v>0.81</v>
      </c>
      <c r="G67" s="115">
        <v>0.85</v>
      </c>
      <c r="H67" s="115">
        <v>12.94</v>
      </c>
      <c r="I67" s="115" t="s">
        <v>494</v>
      </c>
      <c r="J67" s="119">
        <v>10567</v>
      </c>
      <c r="K67" s="117" t="s">
        <v>399</v>
      </c>
      <c r="L67" s="6"/>
      <c r="N67" s="2"/>
    </row>
    <row r="68" spans="1:14">
      <c r="A68" s="46"/>
      <c r="B68" s="78" t="s">
        <v>400</v>
      </c>
      <c r="C68" s="79"/>
      <c r="D68" s="105" t="s">
        <v>313</v>
      </c>
      <c r="E68" s="118">
        <v>0.90300000000000002</v>
      </c>
      <c r="F68" s="118">
        <v>0.81699999999999995</v>
      </c>
      <c r="G68" s="118">
        <v>0.86899999999999999</v>
      </c>
      <c r="H68" s="118">
        <v>9</v>
      </c>
      <c r="I68" s="118" t="s">
        <v>495</v>
      </c>
      <c r="J68" s="118">
        <v>11308</v>
      </c>
      <c r="K68" s="78" t="s">
        <v>402</v>
      </c>
      <c r="L68" s="6"/>
      <c r="N68" s="2"/>
    </row>
    <row r="69" spans="1:14">
      <c r="A69" s="46"/>
      <c r="B69" s="78"/>
      <c r="C69" s="79"/>
      <c r="D69" s="79"/>
      <c r="E69" s="5"/>
      <c r="F69" s="5"/>
      <c r="G69" s="5"/>
      <c r="H69" s="5"/>
      <c r="I69" s="5"/>
      <c r="J69" s="5"/>
      <c r="K69" s="6"/>
      <c r="L69" s="6"/>
      <c r="N69" s="2"/>
    </row>
    <row r="70" spans="1:14">
      <c r="A70" s="46"/>
      <c r="B70" s="78"/>
      <c r="C70" s="79"/>
      <c r="D70" s="79"/>
      <c r="E70" s="5"/>
      <c r="F70" s="5"/>
      <c r="G70" s="5"/>
      <c r="H70" s="5"/>
      <c r="I70" s="5"/>
      <c r="J70" s="5"/>
      <c r="K70" s="6"/>
      <c r="L70" s="6"/>
      <c r="N70" s="2"/>
    </row>
    <row r="71" spans="1:14">
      <c r="A71" s="44"/>
      <c r="B71" s="45" t="s">
        <v>403</v>
      </c>
      <c r="C71" s="43"/>
      <c r="D71" s="43"/>
      <c r="E71" s="43"/>
      <c r="F71" s="43"/>
      <c r="G71" s="43"/>
      <c r="H71" s="43"/>
      <c r="I71" s="43"/>
      <c r="J71" s="43"/>
      <c r="K71" s="25"/>
      <c r="L71" s="25"/>
    </row>
    <row r="72" spans="1:14">
      <c r="A72" s="46"/>
      <c r="B72" s="45" t="s">
        <v>404</v>
      </c>
      <c r="C72" s="45" t="s">
        <v>405</v>
      </c>
      <c r="D72" s="43"/>
      <c r="E72" s="43"/>
      <c r="F72" s="43"/>
      <c r="G72" s="43"/>
      <c r="H72" s="43"/>
      <c r="I72" s="43"/>
      <c r="J72" s="43"/>
      <c r="K72" s="25"/>
      <c r="L72" s="25"/>
    </row>
    <row r="73" spans="1:14">
      <c r="A73" s="41"/>
      <c r="B73" s="43"/>
      <c r="C73" s="43"/>
      <c r="D73" s="43"/>
      <c r="E73" s="43"/>
      <c r="F73" s="43"/>
      <c r="G73" s="43"/>
      <c r="H73" s="43"/>
      <c r="I73" s="43"/>
      <c r="J73" s="43"/>
      <c r="K73" s="25"/>
      <c r="L73" s="25"/>
    </row>
    <row r="74" spans="1:14" ht="15.95">
      <c r="A74" s="48" t="s">
        <v>406</v>
      </c>
      <c r="B74" s="49"/>
      <c r="C74" s="43"/>
      <c r="D74" s="43"/>
      <c r="E74" s="43"/>
      <c r="F74" s="43"/>
      <c r="G74" s="43"/>
      <c r="H74" s="43"/>
      <c r="I74" s="43"/>
      <c r="J74" s="43"/>
      <c r="K74" s="25"/>
      <c r="L74" s="25"/>
    </row>
    <row r="75" spans="1:14" ht="15.95">
      <c r="A75" s="50" t="s">
        <v>407</v>
      </c>
      <c r="B75" s="51" t="s">
        <v>408</v>
      </c>
      <c r="C75" s="43"/>
      <c r="D75" s="43"/>
      <c r="E75" s="43"/>
      <c r="F75" s="43"/>
      <c r="G75" s="43"/>
      <c r="H75" s="43"/>
      <c r="I75" s="43"/>
      <c r="J75" s="43"/>
      <c r="K75" s="25"/>
      <c r="L75" s="25"/>
    </row>
    <row r="76" spans="1:14" ht="15.95">
      <c r="A76" s="50" t="s">
        <v>409</v>
      </c>
      <c r="B76" s="51" t="s">
        <v>410</v>
      </c>
      <c r="C76" s="43"/>
      <c r="D76" s="43"/>
      <c r="E76" s="43"/>
      <c r="F76" s="43"/>
      <c r="G76" s="43"/>
      <c r="H76" s="43"/>
      <c r="I76" s="43"/>
      <c r="J76" s="43"/>
      <c r="K76" s="25"/>
      <c r="L76" s="25"/>
    </row>
    <row r="77" spans="1:14" ht="15.95">
      <c r="A77" s="50" t="s">
        <v>411</v>
      </c>
      <c r="B77" s="51" t="s">
        <v>412</v>
      </c>
      <c r="C77" s="43"/>
      <c r="D77" s="43"/>
      <c r="E77" s="43"/>
      <c r="F77" s="43"/>
      <c r="G77" s="43"/>
      <c r="H77" s="43"/>
      <c r="I77" s="43"/>
      <c r="J77" s="43"/>
      <c r="K77" s="25"/>
      <c r="L77" s="25"/>
    </row>
    <row r="78" spans="1:14" ht="15.95">
      <c r="A78" s="50" t="s">
        <v>413</v>
      </c>
      <c r="B78" s="51" t="s">
        <v>414</v>
      </c>
      <c r="C78" s="43"/>
      <c r="D78" s="43"/>
      <c r="E78" s="43"/>
      <c r="F78" s="43"/>
      <c r="G78" s="43"/>
      <c r="H78" s="43"/>
      <c r="I78" s="43"/>
      <c r="J78" s="43"/>
      <c r="K78" s="25"/>
      <c r="L78" s="25"/>
    </row>
    <row r="79" spans="1:14">
      <c r="A79" s="13"/>
      <c r="C79" s="3"/>
      <c r="J79"/>
    </row>
    <row r="80" spans="1:14">
      <c r="A80" s="4" t="s">
        <v>496</v>
      </c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  <row r="557" spans="10:10">
      <c r="J557"/>
    </row>
    <row r="558" spans="10:10">
      <c r="J558"/>
    </row>
    <row r="559" spans="10:10">
      <c r="J559"/>
    </row>
    <row r="560" spans="10:10">
      <c r="J560"/>
    </row>
    <row r="561" spans="10:10">
      <c r="J561"/>
    </row>
    <row r="562" spans="10:10">
      <c r="J562"/>
    </row>
    <row r="563" spans="10:10">
      <c r="J563"/>
    </row>
    <row r="564" spans="10:10">
      <c r="J564"/>
    </row>
    <row r="565" spans="10:10">
      <c r="J565"/>
    </row>
    <row r="566" spans="10:10">
      <c r="J566"/>
    </row>
    <row r="567" spans="10:10">
      <c r="J567"/>
    </row>
    <row r="568" spans="10:10">
      <c r="J568"/>
    </row>
    <row r="569" spans="10:10">
      <c r="J569"/>
    </row>
    <row r="570" spans="10:10">
      <c r="J570"/>
    </row>
    <row r="571" spans="10:10">
      <c r="J571"/>
    </row>
    <row r="572" spans="10:10">
      <c r="J572"/>
    </row>
    <row r="573" spans="10:10">
      <c r="J573"/>
    </row>
    <row r="574" spans="10:10">
      <c r="J574"/>
    </row>
    <row r="575" spans="10:10">
      <c r="J575"/>
    </row>
    <row r="576" spans="10:10">
      <c r="J576"/>
    </row>
    <row r="577" spans="10:10">
      <c r="J577"/>
    </row>
    <row r="578" spans="10:10">
      <c r="J578"/>
    </row>
    <row r="579" spans="10:10">
      <c r="J579"/>
    </row>
    <row r="580" spans="10:10">
      <c r="J580"/>
    </row>
    <row r="581" spans="10:10">
      <c r="J581"/>
    </row>
    <row r="582" spans="10:10">
      <c r="J582"/>
    </row>
    <row r="583" spans="10:10">
      <c r="J583"/>
    </row>
    <row r="584" spans="10:10">
      <c r="J584"/>
    </row>
    <row r="585" spans="10:10">
      <c r="J585"/>
    </row>
    <row r="586" spans="10:10">
      <c r="J586"/>
    </row>
    <row r="587" spans="10:10">
      <c r="J587"/>
    </row>
    <row r="588" spans="10:10">
      <c r="J588"/>
    </row>
    <row r="589" spans="10:10">
      <c r="J589"/>
    </row>
    <row r="590" spans="10:10">
      <c r="J590"/>
    </row>
    <row r="591" spans="10:10">
      <c r="J591"/>
    </row>
    <row r="592" spans="10:10">
      <c r="J592"/>
    </row>
    <row r="593" spans="10:10">
      <c r="J593"/>
    </row>
    <row r="594" spans="10:10">
      <c r="J594"/>
    </row>
    <row r="595" spans="10:10">
      <c r="J595"/>
    </row>
    <row r="596" spans="10:10">
      <c r="J596"/>
    </row>
    <row r="597" spans="10:10">
      <c r="J597"/>
    </row>
    <row r="598" spans="10:10">
      <c r="J598"/>
    </row>
    <row r="599" spans="10:10">
      <c r="J599"/>
    </row>
    <row r="600" spans="10:10">
      <c r="J600"/>
    </row>
    <row r="601" spans="10:10">
      <c r="J601"/>
    </row>
    <row r="602" spans="10:10">
      <c r="J602"/>
    </row>
    <row r="603" spans="10:10">
      <c r="J603"/>
    </row>
    <row r="604" spans="10:10">
      <c r="J604"/>
    </row>
    <row r="605" spans="10:10">
      <c r="J605"/>
    </row>
    <row r="606" spans="10:10">
      <c r="J606"/>
    </row>
    <row r="607" spans="10:10">
      <c r="J607"/>
    </row>
    <row r="608" spans="10:10">
      <c r="J608"/>
    </row>
    <row r="609" spans="10:10">
      <c r="J609"/>
    </row>
    <row r="610" spans="10:10">
      <c r="J610"/>
    </row>
    <row r="611" spans="10:10">
      <c r="J611"/>
    </row>
    <row r="612" spans="10:10">
      <c r="J612"/>
    </row>
    <row r="613" spans="10:10">
      <c r="J613"/>
    </row>
    <row r="614" spans="10:10">
      <c r="J614"/>
    </row>
    <row r="615" spans="10:10">
      <c r="J615"/>
    </row>
    <row r="616" spans="10:10">
      <c r="J616"/>
    </row>
    <row r="617" spans="10:10">
      <c r="J617"/>
    </row>
    <row r="618" spans="10:10">
      <c r="J618"/>
    </row>
    <row r="619" spans="10:10">
      <c r="J619"/>
    </row>
    <row r="620" spans="10:10">
      <c r="J620"/>
    </row>
    <row r="621" spans="10:10">
      <c r="J621"/>
    </row>
    <row r="622" spans="10:10">
      <c r="J622"/>
    </row>
    <row r="623" spans="10:10">
      <c r="J623"/>
    </row>
    <row r="624" spans="10:10">
      <c r="J624"/>
    </row>
    <row r="625" spans="10:10">
      <c r="J625"/>
    </row>
    <row r="626" spans="10:10">
      <c r="J626"/>
    </row>
    <row r="627" spans="10:10">
      <c r="J627"/>
    </row>
    <row r="628" spans="10:10">
      <c r="J628"/>
    </row>
    <row r="629" spans="10:10">
      <c r="J629"/>
    </row>
    <row r="630" spans="10:10">
      <c r="J630"/>
    </row>
    <row r="631" spans="10:10">
      <c r="J631"/>
    </row>
    <row r="632" spans="10:10">
      <c r="J632"/>
    </row>
    <row r="633" spans="10:10">
      <c r="J633"/>
    </row>
    <row r="634" spans="10:10">
      <c r="J634"/>
    </row>
    <row r="635" spans="10:10">
      <c r="J635"/>
    </row>
    <row r="636" spans="10:10">
      <c r="J636"/>
    </row>
    <row r="637" spans="10:10">
      <c r="J637"/>
    </row>
    <row r="638" spans="10:10">
      <c r="J638"/>
    </row>
    <row r="639" spans="10:10">
      <c r="J639"/>
    </row>
    <row r="640" spans="10:10">
      <c r="J640"/>
    </row>
    <row r="641" spans="10:10">
      <c r="J641"/>
    </row>
    <row r="642" spans="10:10">
      <c r="J642"/>
    </row>
    <row r="643" spans="10:10">
      <c r="J643"/>
    </row>
    <row r="644" spans="10:10">
      <c r="J644"/>
    </row>
    <row r="645" spans="10:10">
      <c r="J645"/>
    </row>
    <row r="646" spans="10:10">
      <c r="J646"/>
    </row>
    <row r="647" spans="10:10">
      <c r="J647"/>
    </row>
    <row r="648" spans="10:10">
      <c r="J648"/>
    </row>
    <row r="649" spans="10:10">
      <c r="J649"/>
    </row>
    <row r="650" spans="10:10">
      <c r="J650"/>
    </row>
    <row r="651" spans="10:10">
      <c r="J651"/>
    </row>
    <row r="652" spans="10:10">
      <c r="J652"/>
    </row>
    <row r="653" spans="10:10">
      <c r="J653"/>
    </row>
    <row r="654" spans="10:10">
      <c r="J654"/>
    </row>
    <row r="655" spans="10:10">
      <c r="J655"/>
    </row>
    <row r="656" spans="10:10">
      <c r="J656"/>
    </row>
    <row r="657" spans="10:10">
      <c r="J657"/>
    </row>
    <row r="658" spans="10:10">
      <c r="J658"/>
    </row>
    <row r="659" spans="10:10">
      <c r="J659"/>
    </row>
    <row r="660" spans="10:10">
      <c r="J660"/>
    </row>
    <row r="661" spans="10:10">
      <c r="J661"/>
    </row>
    <row r="662" spans="10:10">
      <c r="J662"/>
    </row>
    <row r="663" spans="10:10">
      <c r="J663"/>
    </row>
    <row r="664" spans="10:10">
      <c r="J664"/>
    </row>
    <row r="665" spans="10:10">
      <c r="J665"/>
    </row>
    <row r="666" spans="10:10">
      <c r="J666"/>
    </row>
    <row r="667" spans="10:10">
      <c r="J667"/>
    </row>
    <row r="668" spans="10:10">
      <c r="J668"/>
    </row>
    <row r="669" spans="10:10">
      <c r="J669"/>
    </row>
    <row r="670" spans="10:10">
      <c r="J670"/>
    </row>
    <row r="671" spans="10:10">
      <c r="J671"/>
    </row>
    <row r="672" spans="10:10">
      <c r="J672"/>
    </row>
    <row r="673" spans="10:10">
      <c r="J673"/>
    </row>
    <row r="674" spans="10:10">
      <c r="J674"/>
    </row>
    <row r="675" spans="10:10">
      <c r="J675"/>
    </row>
    <row r="676" spans="10:10">
      <c r="J676"/>
    </row>
    <row r="677" spans="10:10">
      <c r="J677"/>
    </row>
    <row r="678" spans="10:10">
      <c r="J678"/>
    </row>
    <row r="679" spans="10:10">
      <c r="J679"/>
    </row>
    <row r="680" spans="10:10">
      <c r="J680"/>
    </row>
    <row r="681" spans="10:10">
      <c r="J681"/>
    </row>
    <row r="682" spans="10:10">
      <c r="J682"/>
    </row>
    <row r="683" spans="10:10">
      <c r="J683"/>
    </row>
    <row r="684" spans="10:10">
      <c r="J684"/>
    </row>
    <row r="685" spans="10:10">
      <c r="J685"/>
    </row>
    <row r="686" spans="10:10">
      <c r="J686"/>
    </row>
    <row r="687" spans="10:10">
      <c r="J687"/>
    </row>
    <row r="688" spans="10:10">
      <c r="J688"/>
    </row>
    <row r="689" spans="10:10">
      <c r="J689"/>
    </row>
    <row r="690" spans="10:10">
      <c r="J690"/>
    </row>
    <row r="691" spans="10:10">
      <c r="J691"/>
    </row>
    <row r="692" spans="10:10">
      <c r="J692"/>
    </row>
    <row r="693" spans="10:10">
      <c r="J693"/>
    </row>
    <row r="694" spans="10:10">
      <c r="J694"/>
    </row>
    <row r="695" spans="10:10">
      <c r="J695"/>
    </row>
    <row r="696" spans="10:10">
      <c r="J696"/>
    </row>
    <row r="697" spans="10:10">
      <c r="J697"/>
    </row>
    <row r="698" spans="10:10">
      <c r="J698"/>
    </row>
    <row r="699" spans="10:10">
      <c r="J699"/>
    </row>
    <row r="700" spans="10:10">
      <c r="J700"/>
    </row>
    <row r="701" spans="10:10">
      <c r="J701"/>
    </row>
    <row r="702" spans="10:10">
      <c r="J702"/>
    </row>
    <row r="703" spans="10:10">
      <c r="J703"/>
    </row>
    <row r="704" spans="10:10">
      <c r="J704"/>
    </row>
    <row r="705" spans="10:10">
      <c r="J705"/>
    </row>
    <row r="706" spans="10:10">
      <c r="J706"/>
    </row>
    <row r="707" spans="10:10">
      <c r="J707"/>
    </row>
    <row r="708" spans="10:10">
      <c r="J708"/>
    </row>
    <row r="709" spans="10:10">
      <c r="J709"/>
    </row>
    <row r="710" spans="10:10">
      <c r="J710"/>
    </row>
    <row r="711" spans="10:10">
      <c r="J711"/>
    </row>
    <row r="712" spans="10:10">
      <c r="J712"/>
    </row>
    <row r="713" spans="10:10">
      <c r="J713"/>
    </row>
    <row r="714" spans="10:10">
      <c r="J714"/>
    </row>
    <row r="715" spans="10:10">
      <c r="J715"/>
    </row>
    <row r="716" spans="10:10">
      <c r="J716"/>
    </row>
    <row r="717" spans="10:10">
      <c r="J717"/>
    </row>
    <row r="718" spans="10:10">
      <c r="J718"/>
    </row>
    <row r="719" spans="10:10">
      <c r="J719"/>
    </row>
    <row r="720" spans="10:10">
      <c r="J720"/>
    </row>
    <row r="721" spans="10:10">
      <c r="J721"/>
    </row>
    <row r="722" spans="10:10">
      <c r="J722"/>
    </row>
    <row r="723" spans="10:10">
      <c r="J723"/>
    </row>
    <row r="724" spans="10:10">
      <c r="J724"/>
    </row>
    <row r="725" spans="10:10">
      <c r="J725"/>
    </row>
    <row r="726" spans="10:10">
      <c r="J726"/>
    </row>
    <row r="727" spans="10:10">
      <c r="J727"/>
    </row>
    <row r="728" spans="10:10">
      <c r="J728"/>
    </row>
    <row r="729" spans="10:10">
      <c r="J729"/>
    </row>
    <row r="730" spans="10:10">
      <c r="J730"/>
    </row>
    <row r="731" spans="10:10">
      <c r="J731"/>
    </row>
    <row r="732" spans="10:10">
      <c r="J732"/>
    </row>
    <row r="733" spans="10:10">
      <c r="J733"/>
    </row>
    <row r="734" spans="10:10">
      <c r="J734"/>
    </row>
    <row r="735" spans="10:10">
      <c r="J735"/>
    </row>
    <row r="736" spans="10:10">
      <c r="J736"/>
    </row>
    <row r="737" spans="10:10">
      <c r="J737"/>
    </row>
    <row r="738" spans="10:10">
      <c r="J738"/>
    </row>
    <row r="739" spans="10:10">
      <c r="J739"/>
    </row>
    <row r="740" spans="10:10">
      <c r="J740"/>
    </row>
    <row r="741" spans="10:10">
      <c r="J741"/>
    </row>
    <row r="742" spans="10:10">
      <c r="J742"/>
    </row>
    <row r="743" spans="10:10">
      <c r="J743"/>
    </row>
    <row r="744" spans="10:10">
      <c r="J744"/>
    </row>
    <row r="745" spans="10:10">
      <c r="J745"/>
    </row>
    <row r="746" spans="10:10">
      <c r="J746"/>
    </row>
    <row r="747" spans="10:10">
      <c r="J747"/>
    </row>
    <row r="748" spans="10:10">
      <c r="J748"/>
    </row>
    <row r="749" spans="10:10">
      <c r="J749"/>
    </row>
    <row r="750" spans="10:10">
      <c r="J750"/>
    </row>
    <row r="751" spans="10:10">
      <c r="J751"/>
    </row>
    <row r="752" spans="10:10">
      <c r="J752"/>
    </row>
    <row r="753" spans="10:10">
      <c r="J753"/>
    </row>
    <row r="754" spans="10:10">
      <c r="J754"/>
    </row>
    <row r="755" spans="10:10">
      <c r="J755"/>
    </row>
    <row r="756" spans="10:10">
      <c r="J756"/>
    </row>
    <row r="757" spans="10:10">
      <c r="J757"/>
    </row>
    <row r="758" spans="10:10">
      <c r="J758"/>
    </row>
    <row r="759" spans="10:10">
      <c r="J759"/>
    </row>
    <row r="760" spans="10:10">
      <c r="J760"/>
    </row>
    <row r="761" spans="10:10">
      <c r="J761"/>
    </row>
    <row r="762" spans="10:10">
      <c r="J762"/>
    </row>
    <row r="763" spans="10:10">
      <c r="J763"/>
    </row>
    <row r="764" spans="10:10">
      <c r="J764"/>
    </row>
    <row r="765" spans="10:10">
      <c r="J765"/>
    </row>
    <row r="766" spans="10:10">
      <c r="J766"/>
    </row>
    <row r="767" spans="10:10">
      <c r="J767"/>
    </row>
    <row r="768" spans="10:10">
      <c r="J768"/>
    </row>
    <row r="769" spans="10:10">
      <c r="J769"/>
    </row>
    <row r="770" spans="10:10">
      <c r="J770"/>
    </row>
    <row r="771" spans="10:10">
      <c r="J771"/>
    </row>
    <row r="772" spans="10:10">
      <c r="J772"/>
    </row>
    <row r="773" spans="10:10">
      <c r="J773"/>
    </row>
    <row r="774" spans="10:10">
      <c r="J774"/>
    </row>
    <row r="775" spans="10:10">
      <c r="J775"/>
    </row>
    <row r="776" spans="10:10">
      <c r="J776"/>
    </row>
    <row r="777" spans="10:10">
      <c r="J777"/>
    </row>
    <row r="778" spans="10:10">
      <c r="J778"/>
    </row>
    <row r="779" spans="10:10">
      <c r="J779"/>
    </row>
    <row r="780" spans="10:10">
      <c r="J780"/>
    </row>
    <row r="781" spans="10:10">
      <c r="J781"/>
    </row>
    <row r="782" spans="10:10">
      <c r="J782"/>
    </row>
    <row r="783" spans="10:10">
      <c r="J783"/>
    </row>
    <row r="784" spans="10:10">
      <c r="J784"/>
    </row>
    <row r="785" spans="10:10">
      <c r="J785"/>
    </row>
    <row r="786" spans="10:10">
      <c r="J786"/>
    </row>
    <row r="787" spans="10:10">
      <c r="J787"/>
    </row>
    <row r="788" spans="10:10">
      <c r="J788"/>
    </row>
    <row r="789" spans="10:10">
      <c r="J789"/>
    </row>
    <row r="790" spans="10:10">
      <c r="J790"/>
    </row>
    <row r="791" spans="10:10">
      <c r="J791"/>
    </row>
    <row r="792" spans="10:10">
      <c r="J792"/>
    </row>
    <row r="793" spans="10:10">
      <c r="J793"/>
    </row>
    <row r="794" spans="10:10">
      <c r="J794"/>
    </row>
    <row r="795" spans="10:10">
      <c r="J795"/>
    </row>
    <row r="796" spans="10:10">
      <c r="J796"/>
    </row>
    <row r="797" spans="10:10">
      <c r="J797"/>
    </row>
    <row r="798" spans="10:10">
      <c r="J798"/>
    </row>
    <row r="799" spans="10:10">
      <c r="J799"/>
    </row>
    <row r="800" spans="10:10">
      <c r="J800"/>
    </row>
    <row r="801" spans="10:10">
      <c r="J801"/>
    </row>
    <row r="802" spans="10:10">
      <c r="J802"/>
    </row>
    <row r="803" spans="10:10">
      <c r="J803"/>
    </row>
    <row r="804" spans="10:10">
      <c r="J804"/>
    </row>
    <row r="805" spans="10:10">
      <c r="J805"/>
    </row>
    <row r="806" spans="10:10">
      <c r="J806"/>
    </row>
    <row r="807" spans="10:10">
      <c r="J807"/>
    </row>
    <row r="808" spans="10:10">
      <c r="J808"/>
    </row>
    <row r="809" spans="10:10">
      <c r="J809"/>
    </row>
    <row r="810" spans="10:10">
      <c r="J810"/>
    </row>
    <row r="811" spans="10:10">
      <c r="J811"/>
    </row>
    <row r="812" spans="10:10">
      <c r="J812"/>
    </row>
    <row r="813" spans="10:10">
      <c r="J813"/>
    </row>
    <row r="814" spans="10:10">
      <c r="J814"/>
    </row>
    <row r="815" spans="10:10">
      <c r="J815"/>
    </row>
    <row r="816" spans="10:10">
      <c r="J816"/>
    </row>
    <row r="817" spans="10:10">
      <c r="J817"/>
    </row>
    <row r="818" spans="10:10">
      <c r="J818"/>
    </row>
    <row r="819" spans="10:10">
      <c r="J819"/>
    </row>
    <row r="820" spans="10:10">
      <c r="J820"/>
    </row>
    <row r="821" spans="10:10">
      <c r="J821"/>
    </row>
    <row r="822" spans="10:10">
      <c r="J822"/>
    </row>
    <row r="823" spans="10:10">
      <c r="J823"/>
    </row>
    <row r="824" spans="10:10">
      <c r="J824"/>
    </row>
    <row r="825" spans="10:10">
      <c r="J825"/>
    </row>
    <row r="826" spans="10:10">
      <c r="J826"/>
    </row>
    <row r="827" spans="10:10">
      <c r="J827"/>
    </row>
    <row r="828" spans="10:10">
      <c r="J828"/>
    </row>
    <row r="829" spans="10:10">
      <c r="J829"/>
    </row>
    <row r="830" spans="10:10">
      <c r="J830"/>
    </row>
    <row r="831" spans="10:10">
      <c r="J831"/>
    </row>
    <row r="832" spans="10:10">
      <c r="J832"/>
    </row>
    <row r="833" spans="10:10">
      <c r="J833"/>
    </row>
    <row r="834" spans="10:10">
      <c r="J834"/>
    </row>
    <row r="835" spans="10:10">
      <c r="J835"/>
    </row>
    <row r="836" spans="10:10">
      <c r="J836"/>
    </row>
    <row r="837" spans="10:10">
      <c r="J837"/>
    </row>
    <row r="838" spans="10:10">
      <c r="J838"/>
    </row>
    <row r="839" spans="10:10">
      <c r="J839"/>
    </row>
    <row r="840" spans="10:10">
      <c r="J840"/>
    </row>
    <row r="841" spans="10:10">
      <c r="J841"/>
    </row>
    <row r="842" spans="10:10">
      <c r="J842"/>
    </row>
    <row r="843" spans="10:10">
      <c r="J843"/>
    </row>
    <row r="844" spans="10:10">
      <c r="J844"/>
    </row>
    <row r="845" spans="10:10">
      <c r="J845"/>
    </row>
    <row r="846" spans="10:10">
      <c r="J846"/>
    </row>
    <row r="847" spans="10:10">
      <c r="J847"/>
    </row>
    <row r="848" spans="10:10">
      <c r="J848"/>
    </row>
    <row r="849" spans="10:10">
      <c r="J849"/>
    </row>
    <row r="850" spans="10:10">
      <c r="J850"/>
    </row>
    <row r="851" spans="10:10">
      <c r="J851"/>
    </row>
    <row r="852" spans="10:10">
      <c r="J852"/>
    </row>
    <row r="853" spans="10:10">
      <c r="J853"/>
    </row>
    <row r="854" spans="10:10">
      <c r="J854"/>
    </row>
    <row r="855" spans="10:10">
      <c r="J855"/>
    </row>
    <row r="856" spans="10:10">
      <c r="J856"/>
    </row>
    <row r="857" spans="10:10">
      <c r="J857"/>
    </row>
    <row r="858" spans="10:10">
      <c r="J858"/>
    </row>
    <row r="859" spans="10:10">
      <c r="J859"/>
    </row>
    <row r="860" spans="10:10">
      <c r="J860"/>
    </row>
    <row r="861" spans="10:10">
      <c r="J861"/>
    </row>
    <row r="862" spans="10:10">
      <c r="J862"/>
    </row>
    <row r="863" spans="10:10">
      <c r="J863"/>
    </row>
    <row r="864" spans="10:10">
      <c r="J864"/>
    </row>
    <row r="865" spans="10:10">
      <c r="J865"/>
    </row>
    <row r="866" spans="10:10">
      <c r="J866"/>
    </row>
    <row r="867" spans="10:10">
      <c r="J867"/>
    </row>
    <row r="868" spans="10:10">
      <c r="J868"/>
    </row>
    <row r="869" spans="10:10">
      <c r="J869"/>
    </row>
    <row r="870" spans="10:10">
      <c r="J870"/>
    </row>
    <row r="871" spans="10:10">
      <c r="J871"/>
    </row>
    <row r="872" spans="10:10">
      <c r="J872"/>
    </row>
    <row r="873" spans="10:10">
      <c r="J873"/>
    </row>
    <row r="874" spans="10:10">
      <c r="J874"/>
    </row>
    <row r="875" spans="10:10">
      <c r="J875"/>
    </row>
    <row r="876" spans="10:10">
      <c r="J876"/>
    </row>
    <row r="877" spans="10:10">
      <c r="J877"/>
    </row>
    <row r="878" spans="10:10">
      <c r="J878"/>
    </row>
    <row r="879" spans="10:10">
      <c r="J879"/>
    </row>
    <row r="880" spans="10:10">
      <c r="J880"/>
    </row>
    <row r="881" spans="10:10">
      <c r="J881"/>
    </row>
    <row r="882" spans="10:10">
      <c r="J882"/>
    </row>
    <row r="883" spans="10:10">
      <c r="J883"/>
    </row>
    <row r="884" spans="10:10">
      <c r="J884"/>
    </row>
    <row r="885" spans="10:10">
      <c r="J885"/>
    </row>
    <row r="886" spans="10:10">
      <c r="J886"/>
    </row>
    <row r="887" spans="10:10">
      <c r="J887"/>
    </row>
    <row r="888" spans="10:10">
      <c r="J888"/>
    </row>
    <row r="889" spans="10:10">
      <c r="J889"/>
    </row>
    <row r="890" spans="10:10">
      <c r="J890"/>
    </row>
    <row r="891" spans="10:10">
      <c r="J891"/>
    </row>
    <row r="892" spans="10:10">
      <c r="J892"/>
    </row>
    <row r="893" spans="10:10">
      <c r="J893"/>
    </row>
  </sheetData>
  <autoFilter ref="A2:L2" xr:uid="{C5C2BC2A-39EF-41BF-AD8A-98A78C1356E2}"/>
  <mergeCells count="6">
    <mergeCell ref="A1:L1"/>
    <mergeCell ref="A45:A47"/>
    <mergeCell ref="A39:A43"/>
    <mergeCell ref="A36:A38"/>
    <mergeCell ref="A30:A35"/>
    <mergeCell ref="A23:A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3B1B-02EC-4515-BCB6-C918800446B9}">
  <dimension ref="B2:F17"/>
  <sheetViews>
    <sheetView workbookViewId="0">
      <selection activeCell="C7" sqref="C7"/>
    </sheetView>
  </sheetViews>
  <sheetFormatPr defaultColWidth="8.85546875" defaultRowHeight="15"/>
  <cols>
    <col min="3" max="3" width="40.42578125" customWidth="1"/>
    <col min="4" max="4" width="89.42578125" customWidth="1"/>
    <col min="5" max="5" width="39.28515625" customWidth="1"/>
    <col min="6" max="6" width="38.28515625" customWidth="1"/>
  </cols>
  <sheetData>
    <row r="2" spans="2:6">
      <c r="B2" s="26" t="s">
        <v>497</v>
      </c>
      <c r="C2" s="26" t="s">
        <v>498</v>
      </c>
      <c r="D2" s="26" t="s">
        <v>499</v>
      </c>
      <c r="E2" s="26" t="s">
        <v>500</v>
      </c>
      <c r="F2" s="26" t="s">
        <v>501</v>
      </c>
    </row>
    <row r="3" spans="2:6">
      <c r="B3" s="25">
        <v>1</v>
      </c>
      <c r="C3" s="25" t="s">
        <v>502</v>
      </c>
      <c r="D3" s="25" t="s">
        <v>503</v>
      </c>
      <c r="E3" s="25" t="s">
        <v>504</v>
      </c>
      <c r="F3" s="25"/>
    </row>
    <row r="4" spans="2:6" ht="32.1">
      <c r="B4" s="25">
        <v>1</v>
      </c>
      <c r="C4" s="27" t="s">
        <v>505</v>
      </c>
      <c r="D4" s="25" t="s">
        <v>506</v>
      </c>
      <c r="E4" s="25" t="s">
        <v>507</v>
      </c>
      <c r="F4" s="25" t="s">
        <v>508</v>
      </c>
    </row>
    <row r="5" spans="2:6">
      <c r="B5" s="25">
        <v>2</v>
      </c>
      <c r="C5" s="25" t="s">
        <v>509</v>
      </c>
      <c r="D5" s="25" t="s">
        <v>510</v>
      </c>
      <c r="E5" s="25" t="s">
        <v>511</v>
      </c>
      <c r="F5" s="25" t="s">
        <v>508</v>
      </c>
    </row>
    <row r="6" spans="2:6">
      <c r="B6" s="25">
        <v>2</v>
      </c>
      <c r="C6" s="25" t="s">
        <v>512</v>
      </c>
      <c r="D6" s="25" t="s">
        <v>513</v>
      </c>
      <c r="E6" s="25" t="s">
        <v>511</v>
      </c>
      <c r="F6" s="25" t="s">
        <v>508</v>
      </c>
    </row>
    <row r="7" spans="2:6">
      <c r="B7" s="25">
        <v>2</v>
      </c>
      <c r="C7" s="25" t="s">
        <v>514</v>
      </c>
      <c r="D7" s="25" t="s">
        <v>513</v>
      </c>
      <c r="E7" s="25" t="s">
        <v>511</v>
      </c>
      <c r="F7" s="25"/>
    </row>
    <row r="8" spans="2:6">
      <c r="B8" s="25">
        <v>2</v>
      </c>
      <c r="C8" s="25" t="s">
        <v>515</v>
      </c>
      <c r="D8" s="25" t="s">
        <v>513</v>
      </c>
      <c r="E8" s="25" t="s">
        <v>507</v>
      </c>
      <c r="F8" s="25"/>
    </row>
    <row r="9" spans="2:6" ht="80.099999999999994">
      <c r="B9" s="25">
        <v>3</v>
      </c>
      <c r="C9" s="25" t="s">
        <v>516</v>
      </c>
      <c r="D9" s="27" t="s">
        <v>517</v>
      </c>
      <c r="E9" s="25" t="s">
        <v>518</v>
      </c>
      <c r="F9" s="25"/>
    </row>
    <row r="10" spans="2:6">
      <c r="B10" s="25">
        <v>3</v>
      </c>
      <c r="C10" s="25" t="s">
        <v>519</v>
      </c>
      <c r="D10" s="25" t="s">
        <v>520</v>
      </c>
      <c r="E10" s="25" t="s">
        <v>504</v>
      </c>
      <c r="F10" s="25"/>
    </row>
    <row r="11" spans="2:6">
      <c r="B11" s="25">
        <v>4</v>
      </c>
      <c r="C11" s="25" t="s">
        <v>521</v>
      </c>
      <c r="D11" s="25" t="s">
        <v>522</v>
      </c>
      <c r="E11" s="25" t="s">
        <v>507</v>
      </c>
      <c r="F11" s="25"/>
    </row>
    <row r="12" spans="2:6">
      <c r="B12" s="25">
        <v>5</v>
      </c>
      <c r="C12" s="25" t="s">
        <v>523</v>
      </c>
      <c r="D12" s="25" t="s">
        <v>524</v>
      </c>
      <c r="E12" s="25" t="s">
        <v>504</v>
      </c>
      <c r="F12" s="25"/>
    </row>
    <row r="13" spans="2:6">
      <c r="B13" s="25">
        <v>6</v>
      </c>
      <c r="C13" s="25" t="s">
        <v>525</v>
      </c>
      <c r="D13" s="25" t="s">
        <v>510</v>
      </c>
      <c r="E13" s="25" t="s">
        <v>507</v>
      </c>
      <c r="F13" s="25"/>
    </row>
    <row r="14" spans="2:6">
      <c r="B14" s="25">
        <v>7</v>
      </c>
      <c r="C14" s="25" t="s">
        <v>526</v>
      </c>
      <c r="D14" s="25" t="s">
        <v>527</v>
      </c>
      <c r="E14" s="25" t="s">
        <v>504</v>
      </c>
      <c r="F14" s="25"/>
    </row>
    <row r="15" spans="2:6">
      <c r="B15" s="25"/>
      <c r="C15" s="25"/>
      <c r="D15" s="25"/>
      <c r="E15" s="25"/>
      <c r="F15" s="25"/>
    </row>
    <row r="16" spans="2:6">
      <c r="B16" s="25"/>
      <c r="C16" s="25"/>
      <c r="D16" s="25"/>
      <c r="E16" s="25"/>
      <c r="F16" s="25"/>
    </row>
    <row r="17" spans="2:6">
      <c r="B17" s="25"/>
      <c r="C17" s="25"/>
      <c r="D17" s="25"/>
      <c r="E17" s="25"/>
      <c r="F17" s="25"/>
    </row>
  </sheetData>
  <autoFilter ref="C2:E2" xr:uid="{B9863B1B-02EC-4515-BCB6-C918800446B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e73a50-db4c-43f8-ae46-ae1a2c7129ce" xsi:nil="true"/>
    <lcf76f155ced4ddcb4097134ff3c332f xmlns="d31a0228-6921-4820-bdaa-a4c82afcfcb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23BDF9AD652343A74746E7EAA0DAA6" ma:contentTypeVersion="15" ma:contentTypeDescription="Create a new document." ma:contentTypeScope="" ma:versionID="9f08d66e012038210b9c986140cd53a8">
  <xsd:schema xmlns:xsd="http://www.w3.org/2001/XMLSchema" xmlns:xs="http://www.w3.org/2001/XMLSchema" xmlns:p="http://schemas.microsoft.com/office/2006/metadata/properties" xmlns:ns2="d31a0228-6921-4820-bdaa-a4c82afcfcbc" xmlns:ns3="5ae73a50-db4c-43f8-ae46-ae1a2c7129ce" targetNamespace="http://schemas.microsoft.com/office/2006/metadata/properties" ma:root="true" ma:fieldsID="3e463efb1defe95352308313adaa5d5d" ns2:_="" ns3:_="">
    <xsd:import namespace="d31a0228-6921-4820-bdaa-a4c82afcfcbc"/>
    <xsd:import namespace="5ae73a50-db4c-43f8-ae46-ae1a2c7129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a0228-6921-4820-bdaa-a4c82afcfc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73a50-db4c-43f8-ae46-ae1a2c7129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25240-8a25-470f-8c78-066a9e57621d}" ma:internalName="TaxCatchAll" ma:showField="CatchAllData" ma:web="5ae73a50-db4c-43f8-ae46-ae1a2c7129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2F4A9-AFF4-4EEA-BDD9-AF9135ABA11B}"/>
</file>

<file path=customXml/itemProps2.xml><?xml version="1.0" encoding="utf-8"?>
<ds:datastoreItem xmlns:ds="http://schemas.openxmlformats.org/officeDocument/2006/customXml" ds:itemID="{67511F64-F1D9-4530-A060-7B2D3B766653}"/>
</file>

<file path=customXml/itemProps3.xml><?xml version="1.0" encoding="utf-8"?>
<ds:datastoreItem xmlns:ds="http://schemas.openxmlformats.org/officeDocument/2006/customXml" ds:itemID="{6A80E4EC-F71E-492B-91D8-8B4413B53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Bosch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Bhatnagar Salil (CR/RTC1-IN)</dc:creator>
  <cp:keywords/>
  <dc:description/>
  <cp:lastModifiedBy/>
  <cp:revision/>
  <dcterms:created xsi:type="dcterms:W3CDTF">2026-03-31T12:33:26Z</dcterms:created>
  <dcterms:modified xsi:type="dcterms:W3CDTF">2026-07-20T08:13:55Z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0x0101005323BDF9AD652343A74746E7EAA0DAA6</vt:lpwstr>
  </property>
  <property fmtid="{D5CDD505-2E9C-101B-9397-08002B2CF9AE}" pid="3" name="MediaServiceImageTags">
    <vt:lpwstr/>
  </property>
</Properties>
</file>